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eeshaimtiaz/Documents/Classes/Current/CS 4620-06/CS-4620-06/09-25-2025/"/>
    </mc:Choice>
  </mc:AlternateContent>
  <xr:revisionPtr revIDLastSave="0" documentId="13_ncr:1_{401E9EE1-8BE8-9E44-9420-DFDE9E8C1C77}" xr6:coauthVersionLast="47" xr6:coauthVersionMax="47" xr10:uidLastSave="{00000000-0000-0000-0000-000000000000}"/>
  <bookViews>
    <workbookView xWindow="0" yWindow="500" windowWidth="28800" windowHeight="15740" activeTab="1" xr2:uid="{00000000-000D-0000-FFFF-FFFF00000000}"/>
  </bookViews>
  <sheets>
    <sheet name="9-25-25 CONTROL (Non Solar)" sheetId="1" r:id="rId1"/>
    <sheet name="9-26-25 SOL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AJ35" i="2"/>
  <c r="AK35" i="2"/>
  <c r="AL35" i="2"/>
  <c r="AM35" i="2"/>
  <c r="AN35" i="2"/>
  <c r="AO35" i="2"/>
  <c r="AP35" i="2"/>
  <c r="AQ35" i="2"/>
  <c r="AR35" i="2"/>
  <c r="AS35" i="2"/>
  <c r="AT35" i="2"/>
  <c r="AU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B35" i="2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B35" i="1"/>
  <c r="B33" i="2"/>
  <c r="B33" i="1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B31" i="2"/>
  <c r="B32" i="2" s="1"/>
  <c r="B30" i="2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B32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B30" i="1"/>
</calcChain>
</file>

<file path=xl/sharedStrings.xml><?xml version="1.0" encoding="utf-8"?>
<sst xmlns="http://schemas.openxmlformats.org/spreadsheetml/2006/main" count="258" uniqueCount="84">
  <si>
    <t>P1Q1A</t>
  </si>
  <si>
    <t>P1Q2A</t>
  </si>
  <si>
    <t>P1Q1B</t>
  </si>
  <si>
    <t>P1Q2B</t>
  </si>
  <si>
    <t>P1Q3A</t>
  </si>
  <si>
    <t>P1Q4A</t>
  </si>
  <si>
    <t>P1Q3B</t>
  </si>
  <si>
    <t>P1Q4B</t>
  </si>
  <si>
    <t>P2Q1A</t>
  </si>
  <si>
    <t>P2Q2A</t>
  </si>
  <si>
    <t>P2Q1B</t>
  </si>
  <si>
    <t>P2Q2B</t>
  </si>
  <si>
    <t>P2Q3A</t>
  </si>
  <si>
    <t>P2Q4A</t>
  </si>
  <si>
    <t>P2Q3B</t>
  </si>
  <si>
    <t>P2Q4B</t>
  </si>
  <si>
    <t>P3Q1A</t>
  </si>
  <si>
    <t>P3Q2A</t>
  </si>
  <si>
    <t>P3Q1B</t>
  </si>
  <si>
    <t>P3Q2B</t>
  </si>
  <si>
    <t>P3Q3A</t>
  </si>
  <si>
    <t>P3Q4A</t>
  </si>
  <si>
    <t>P3Q3B</t>
  </si>
  <si>
    <t>P3Q4B</t>
  </si>
  <si>
    <t>P4Q1A</t>
  </si>
  <si>
    <t>P4Q2A</t>
  </si>
  <si>
    <t>P4Q1B</t>
  </si>
  <si>
    <t>P4Q2B</t>
  </si>
  <si>
    <t>P4Q3A</t>
  </si>
  <si>
    <t>P4Q4A</t>
  </si>
  <si>
    <t>P4Q3B</t>
  </si>
  <si>
    <t>P4Q4B</t>
  </si>
  <si>
    <t>P5Q1A</t>
  </si>
  <si>
    <t>P5Q2A</t>
  </si>
  <si>
    <t>P5Q1B</t>
  </si>
  <si>
    <t>P5Q2B</t>
  </si>
  <si>
    <t>P5Q3A</t>
  </si>
  <si>
    <t>P5Q4A</t>
  </si>
  <si>
    <t>P5Q3B</t>
  </si>
  <si>
    <t>P5Q4B</t>
  </si>
  <si>
    <t>P6Q1A</t>
  </si>
  <si>
    <t>P6Q2A</t>
  </si>
  <si>
    <t>P6Q1B</t>
  </si>
  <si>
    <t>P6Q2B</t>
  </si>
  <si>
    <t>P6Q3A</t>
  </si>
  <si>
    <t>P6Q4A</t>
  </si>
  <si>
    <t>P6Q3B</t>
  </si>
  <si>
    <t>P6Q4B</t>
  </si>
  <si>
    <t>L1</t>
  </si>
  <si>
    <t>X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</si>
  <si>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</si>
  <si>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</si>
  <si>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</si>
  <si>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</si>
  <si>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</si>
  <si>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</si>
  <si>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</si>
  <si>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</si>
  <si>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</si>
  <si>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</si>
  <si>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</si>
  <si>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</si>
  <si>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</si>
  <si>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</si>
  <si>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</si>
  <si>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</si>
  <si>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</si>
  <si>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</si>
  <si>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</si>
  <si>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</si>
  <si>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</si>
  <si>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</si>
  <si>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</si>
  <si>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</si>
  <si>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</si>
  <si>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</si>
  <si>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</si>
  <si>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Lettuce number</t>
  </si>
  <si>
    <t>Total Plants</t>
  </si>
  <si>
    <t>Total Leaves</t>
  </si>
  <si>
    <t>Average Leaves
per Plant (2 d.p)</t>
  </si>
  <si>
    <t>Average of Average 
(2 d.p)</t>
  </si>
  <si>
    <t>Total Dead Plants</t>
  </si>
  <si>
    <t>Dead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</si>
</sst>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2"/>
      <color rgb="FF000000"/>
      <name val="Arial (Body)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0"/>
      <name val="Arial (Body)"/>
    </font>
    <font>
      <sz val="12"/>
      <color rgb="FF000000"/>
      <name val="Arial"/>
      <family val="2"/>
      <scheme val="minor"/>
    </font>
    <font>
      <b/>
      <sz val="12"/>
      <color theme="1"/>
      <name val="Arial (Body)"/>
    </font>
    <font>
      <sz val="12"/>
      <color theme="1"/>
      <name val="Arial (Body)"/>
    </font>
    <font>
      <sz val="12"/>
      <color rgb="FFFF0000"/>
      <name val="Arial (Body)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22"/>
  <sheetViews>
    <sheetView topLeftCell="A10" zoomScale="92" workbookViewId="0">
      <selection activeCell="C41" sqref="C41"/>
    </sheetView>
  </sheetViews>
  <sheetFormatPr baseColWidth="10" defaultColWidth="12.5" defaultRowHeight="15.75" customHeight="1" x14ac:dyDescent="0.15"/>
  <cols>
    <col min="1" max="1" width="20.83203125" style="4" customWidth="1"/>
    <col min="2" max="16384" width="12.5" style="4"/>
  </cols>
  <sheetData>
    <row r="1" spans="1:49" ht="16" x14ac:dyDescent="0.15">
      <c r="A1" s="22" t="s">
        <v>77</v>
      </c>
      <c r="B1" s="24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6" t="s">
        <v>47</v>
      </c>
    </row>
    <row r="2" spans="1:49" ht="16" x14ac:dyDescent="0.15">
      <c r="A2" s="23" t="s">
        <v>48</v>
      </c>
      <c r="B2" s="19">
        <v>22</v>
      </c>
      <c r="C2" s="9" t="s">
        <v>49</v>
      </c>
      <c r="D2" s="1">
        <v>26</v>
      </c>
      <c r="E2" s="1">
        <v>23</v>
      </c>
      <c r="F2" s="1">
        <v>22</v>
      </c>
      <c r="G2" s="1">
        <v>21</v>
      </c>
      <c r="H2" s="1">
        <v>21</v>
      </c>
      <c r="I2" s="1">
        <v>30</v>
      </c>
      <c r="J2" s="1">
        <v>21</v>
      </c>
      <c r="K2" s="9" t="s">
        <v>49</v>
      </c>
      <c r="L2" s="1">
        <v>19</v>
      </c>
      <c r="M2" s="1">
        <v>18</v>
      </c>
      <c r="N2" s="1">
        <v>23</v>
      </c>
      <c r="O2" s="1">
        <v>25</v>
      </c>
      <c r="P2" s="1">
        <v>20</v>
      </c>
      <c r="Q2" s="1">
        <v>23</v>
      </c>
      <c r="R2" s="1">
        <v>25</v>
      </c>
      <c r="S2" s="1">
        <v>23</v>
      </c>
      <c r="T2" s="1">
        <v>27</v>
      </c>
      <c r="U2" s="1">
        <v>26</v>
      </c>
      <c r="V2" s="1">
        <v>24</v>
      </c>
      <c r="W2" s="1">
        <v>16</v>
      </c>
      <c r="X2" s="1">
        <v>23</v>
      </c>
      <c r="Y2" s="1">
        <v>22</v>
      </c>
      <c r="Z2" s="1">
        <v>20</v>
      </c>
      <c r="AA2" s="1">
        <v>21</v>
      </c>
      <c r="AB2" s="1">
        <v>18</v>
      </c>
      <c r="AC2" s="1">
        <v>23</v>
      </c>
      <c r="AD2" s="1">
        <v>21</v>
      </c>
      <c r="AE2" s="1">
        <v>25</v>
      </c>
      <c r="AF2" s="1">
        <v>23</v>
      </c>
      <c r="AG2" s="1">
        <v>19</v>
      </c>
      <c r="AH2" s="1">
        <v>26</v>
      </c>
      <c r="AI2" s="1">
        <v>26</v>
      </c>
      <c r="AJ2" s="1">
        <v>18</v>
      </c>
      <c r="AK2" s="1">
        <v>22</v>
      </c>
      <c r="AL2" s="1">
        <v>22</v>
      </c>
      <c r="AM2" s="1">
        <v>25</v>
      </c>
      <c r="AN2" s="1">
        <v>17</v>
      </c>
      <c r="AO2" s="1">
        <v>14</v>
      </c>
      <c r="AP2" s="1">
        <v>17</v>
      </c>
      <c r="AQ2" s="1">
        <v>21</v>
      </c>
      <c r="AR2" s="1">
        <v>20</v>
      </c>
      <c r="AS2" s="1">
        <v>21</v>
      </c>
      <c r="AT2" s="1">
        <v>16</v>
      </c>
      <c r="AU2" s="1">
        <v>21</v>
      </c>
      <c r="AV2" s="1">
        <v>21</v>
      </c>
      <c r="AW2" s="27">
        <v>18</v>
      </c>
    </row>
    <row r="3" spans="1:49" ht="16" x14ac:dyDescent="0.15">
      <c r="A3" s="23" t="s">
        <v>50</v>
      </c>
      <c r="B3" s="19">
        <v>22</v>
      </c>
      <c r="C3" s="9" t="s">
        <v>49</v>
      </c>
      <c r="D3" s="9" t="s">
        <v>49</v>
      </c>
      <c r="E3" s="1">
        <v>24</v>
      </c>
      <c r="F3" s="1">
        <v>16</v>
      </c>
      <c r="G3" s="1">
        <v>23</v>
      </c>
      <c r="H3" s="1">
        <v>28</v>
      </c>
      <c r="I3" s="1">
        <v>35</v>
      </c>
      <c r="J3" s="1">
        <v>23</v>
      </c>
      <c r="K3" s="1">
        <v>10</v>
      </c>
      <c r="L3" s="1">
        <v>21</v>
      </c>
      <c r="M3" s="1">
        <v>18</v>
      </c>
      <c r="N3" s="1">
        <v>26</v>
      </c>
      <c r="O3" s="1">
        <v>25</v>
      </c>
      <c r="P3" s="1">
        <v>29</v>
      </c>
      <c r="Q3" s="1">
        <v>32</v>
      </c>
      <c r="R3" s="1">
        <v>26</v>
      </c>
      <c r="S3" s="1">
        <v>21</v>
      </c>
      <c r="T3" s="1">
        <v>25</v>
      </c>
      <c r="U3" s="1">
        <v>23</v>
      </c>
      <c r="V3" s="1">
        <v>25</v>
      </c>
      <c r="W3" s="1">
        <v>20</v>
      </c>
      <c r="X3" s="1">
        <v>20</v>
      </c>
      <c r="Y3" s="1">
        <v>15</v>
      </c>
      <c r="Z3" s="1">
        <v>19</v>
      </c>
      <c r="AA3" s="1">
        <v>20</v>
      </c>
      <c r="AB3" s="1">
        <v>26</v>
      </c>
      <c r="AC3" s="1">
        <v>20</v>
      </c>
      <c r="AD3" s="1">
        <v>22</v>
      </c>
      <c r="AE3" s="1">
        <v>22</v>
      </c>
      <c r="AF3" s="1">
        <v>24</v>
      </c>
      <c r="AG3" s="1">
        <v>18</v>
      </c>
      <c r="AH3" s="1">
        <v>22</v>
      </c>
      <c r="AI3" s="1">
        <v>19</v>
      </c>
      <c r="AJ3" s="1">
        <v>21</v>
      </c>
      <c r="AK3" s="1">
        <v>9</v>
      </c>
      <c r="AL3" s="1">
        <v>24</v>
      </c>
      <c r="AM3" s="1">
        <v>28</v>
      </c>
      <c r="AN3" s="1">
        <v>21</v>
      </c>
      <c r="AO3" s="28">
        <v>23</v>
      </c>
      <c r="AP3" s="1">
        <v>18</v>
      </c>
      <c r="AQ3" s="1">
        <v>26</v>
      </c>
      <c r="AR3" s="28">
        <v>21</v>
      </c>
      <c r="AS3" s="9" t="s">
        <v>49</v>
      </c>
      <c r="AT3" s="1">
        <v>23</v>
      </c>
      <c r="AU3" s="1">
        <v>17</v>
      </c>
      <c r="AV3" s="1">
        <v>16</v>
      </c>
      <c r="AW3" s="27">
        <v>21</v>
      </c>
    </row>
    <row r="4" spans="1:49" ht="16" x14ac:dyDescent="0.15">
      <c r="A4" s="23" t="s">
        <v>51</v>
      </c>
      <c r="B4" s="19">
        <v>24</v>
      </c>
      <c r="C4" s="1">
        <v>24</v>
      </c>
      <c r="D4" s="1">
        <v>26</v>
      </c>
      <c r="E4" s="1">
        <v>26</v>
      </c>
      <c r="F4" s="1">
        <v>21</v>
      </c>
      <c r="G4" s="1">
        <v>22</v>
      </c>
      <c r="H4" s="1">
        <v>22</v>
      </c>
      <c r="I4" s="1">
        <v>32</v>
      </c>
      <c r="J4" s="1">
        <v>24</v>
      </c>
      <c r="K4" s="1">
        <v>17</v>
      </c>
      <c r="L4" s="1">
        <v>17</v>
      </c>
      <c r="M4" s="1">
        <v>24</v>
      </c>
      <c r="N4" s="1">
        <v>24</v>
      </c>
      <c r="O4" s="1">
        <v>10</v>
      </c>
      <c r="P4" s="1">
        <v>28</v>
      </c>
      <c r="Q4" s="1">
        <v>21</v>
      </c>
      <c r="R4" s="1">
        <v>23</v>
      </c>
      <c r="S4" s="1">
        <v>23</v>
      </c>
      <c r="T4" s="1">
        <v>27</v>
      </c>
      <c r="U4" s="1">
        <v>28</v>
      </c>
      <c r="V4" s="1">
        <v>23</v>
      </c>
      <c r="W4" s="1">
        <v>16</v>
      </c>
      <c r="X4" s="1">
        <v>22</v>
      </c>
      <c r="Y4" s="1">
        <v>22</v>
      </c>
      <c r="Z4" s="1">
        <v>23</v>
      </c>
      <c r="AA4" s="1">
        <v>21</v>
      </c>
      <c r="AB4" s="1">
        <v>23</v>
      </c>
      <c r="AC4" s="1">
        <v>22</v>
      </c>
      <c r="AD4" s="1">
        <v>24</v>
      </c>
      <c r="AE4" s="1">
        <v>22</v>
      </c>
      <c r="AF4" s="1">
        <v>26</v>
      </c>
      <c r="AG4" s="1">
        <v>19</v>
      </c>
      <c r="AH4" s="1">
        <v>21</v>
      </c>
      <c r="AI4" s="1">
        <v>26</v>
      </c>
      <c r="AJ4" s="1">
        <v>18</v>
      </c>
      <c r="AK4" s="1">
        <v>19</v>
      </c>
      <c r="AL4" s="1">
        <v>18</v>
      </c>
      <c r="AM4" s="1">
        <v>25</v>
      </c>
      <c r="AN4" s="1">
        <v>22</v>
      </c>
      <c r="AO4" s="1">
        <v>21</v>
      </c>
      <c r="AP4" s="1">
        <v>15</v>
      </c>
      <c r="AQ4" s="1">
        <v>15</v>
      </c>
      <c r="AR4" s="1">
        <v>20</v>
      </c>
      <c r="AS4" s="1">
        <v>23</v>
      </c>
      <c r="AT4" s="1">
        <v>15</v>
      </c>
      <c r="AU4" s="1">
        <v>21</v>
      </c>
      <c r="AV4" s="1">
        <v>16</v>
      </c>
      <c r="AW4" s="27">
        <v>25</v>
      </c>
    </row>
    <row r="5" spans="1:49" ht="16" x14ac:dyDescent="0.15">
      <c r="A5" s="23" t="s">
        <v>52</v>
      </c>
      <c r="B5" s="19">
        <v>26</v>
      </c>
      <c r="C5" s="1">
        <v>14</v>
      </c>
      <c r="D5" s="1">
        <v>27</v>
      </c>
      <c r="E5" s="1">
        <v>19</v>
      </c>
      <c r="F5" s="1">
        <v>17</v>
      </c>
      <c r="G5" s="1">
        <v>29</v>
      </c>
      <c r="H5" s="1">
        <v>25</v>
      </c>
      <c r="I5" s="1">
        <v>33</v>
      </c>
      <c r="J5" s="1">
        <v>20</v>
      </c>
      <c r="K5" s="1">
        <v>15</v>
      </c>
      <c r="L5" s="1">
        <v>18</v>
      </c>
      <c r="M5" s="1">
        <v>23</v>
      </c>
      <c r="N5" s="1">
        <v>22</v>
      </c>
      <c r="O5" s="1">
        <v>26</v>
      </c>
      <c r="P5" s="1">
        <v>29</v>
      </c>
      <c r="Q5" s="1">
        <v>28</v>
      </c>
      <c r="R5" s="1">
        <v>27</v>
      </c>
      <c r="S5" s="1">
        <v>24</v>
      </c>
      <c r="T5" s="1">
        <v>26</v>
      </c>
      <c r="U5" s="9" t="s">
        <v>49</v>
      </c>
      <c r="V5" s="1">
        <v>12</v>
      </c>
      <c r="W5" s="28">
        <v>21</v>
      </c>
      <c r="X5" s="9" t="s">
        <v>49</v>
      </c>
      <c r="Y5" s="1">
        <v>16</v>
      </c>
      <c r="Z5" s="1">
        <v>22</v>
      </c>
      <c r="AA5" s="1">
        <v>20</v>
      </c>
      <c r="AB5" s="1">
        <v>25</v>
      </c>
      <c r="AC5" s="1">
        <v>15</v>
      </c>
      <c r="AD5" s="1">
        <v>18</v>
      </c>
      <c r="AE5" s="1">
        <v>18</v>
      </c>
      <c r="AF5" s="1">
        <v>14</v>
      </c>
      <c r="AG5" s="1">
        <v>25</v>
      </c>
      <c r="AH5" s="1">
        <v>23</v>
      </c>
      <c r="AI5" s="1">
        <v>22</v>
      </c>
      <c r="AJ5" s="1">
        <v>17</v>
      </c>
      <c r="AK5" s="1">
        <v>21</v>
      </c>
      <c r="AL5" s="1">
        <v>25</v>
      </c>
      <c r="AM5" s="9" t="s">
        <v>49</v>
      </c>
      <c r="AN5" s="1">
        <v>20</v>
      </c>
      <c r="AO5" s="1">
        <v>24</v>
      </c>
      <c r="AP5" s="1">
        <v>18</v>
      </c>
      <c r="AQ5" s="1">
        <v>23</v>
      </c>
      <c r="AR5" s="1">
        <v>22</v>
      </c>
      <c r="AS5" s="1">
        <v>10</v>
      </c>
      <c r="AT5" s="1">
        <v>22</v>
      </c>
      <c r="AU5" s="1">
        <v>22</v>
      </c>
      <c r="AV5" s="1">
        <v>20</v>
      </c>
      <c r="AW5" s="27">
        <v>20</v>
      </c>
    </row>
    <row r="6" spans="1:49" ht="16" x14ac:dyDescent="0.15">
      <c r="A6" s="23" t="s">
        <v>53</v>
      </c>
      <c r="B6" s="19">
        <v>22</v>
      </c>
      <c r="C6" s="1">
        <v>18</v>
      </c>
      <c r="D6" s="1">
        <v>33</v>
      </c>
      <c r="E6" s="1">
        <v>31</v>
      </c>
      <c r="F6" s="1">
        <v>16</v>
      </c>
      <c r="G6" s="1">
        <v>19</v>
      </c>
      <c r="H6" s="1">
        <v>20</v>
      </c>
      <c r="I6" s="1">
        <v>30</v>
      </c>
      <c r="J6" s="1">
        <v>24</v>
      </c>
      <c r="K6" s="1">
        <v>13</v>
      </c>
      <c r="L6" s="1">
        <v>18</v>
      </c>
      <c r="M6" s="1">
        <v>26</v>
      </c>
      <c r="N6" s="1">
        <v>22</v>
      </c>
      <c r="O6" s="1">
        <v>21</v>
      </c>
      <c r="P6" s="1">
        <v>27</v>
      </c>
      <c r="Q6" s="1">
        <v>29</v>
      </c>
      <c r="R6" s="1">
        <v>28</v>
      </c>
      <c r="S6" s="1">
        <v>21</v>
      </c>
      <c r="T6" s="1">
        <v>24</v>
      </c>
      <c r="U6" s="1">
        <v>26</v>
      </c>
      <c r="V6" s="1">
        <v>22</v>
      </c>
      <c r="W6" s="1">
        <v>20</v>
      </c>
      <c r="X6" s="1">
        <v>18</v>
      </c>
      <c r="Y6" s="1">
        <v>21</v>
      </c>
      <c r="Z6" s="1">
        <v>21</v>
      </c>
      <c r="AA6" s="1">
        <v>18</v>
      </c>
      <c r="AB6" s="1">
        <v>18</v>
      </c>
      <c r="AC6" s="1">
        <v>24</v>
      </c>
      <c r="AD6" s="1">
        <v>20</v>
      </c>
      <c r="AE6" s="1">
        <v>20</v>
      </c>
      <c r="AF6" s="1">
        <v>24</v>
      </c>
      <c r="AG6" s="1">
        <v>20</v>
      </c>
      <c r="AH6" s="1">
        <v>18</v>
      </c>
      <c r="AI6" s="1">
        <v>26</v>
      </c>
      <c r="AJ6" s="1">
        <v>17</v>
      </c>
      <c r="AK6" s="1">
        <v>15</v>
      </c>
      <c r="AL6" s="1">
        <v>19</v>
      </c>
      <c r="AM6" s="1">
        <v>23</v>
      </c>
      <c r="AN6" s="1">
        <v>25</v>
      </c>
      <c r="AO6" s="1">
        <v>22</v>
      </c>
      <c r="AP6" s="1">
        <v>17</v>
      </c>
      <c r="AQ6" s="9" t="s">
        <v>49</v>
      </c>
      <c r="AR6" s="1">
        <v>20</v>
      </c>
      <c r="AS6" s="1">
        <v>11</v>
      </c>
      <c r="AT6" s="1">
        <v>14</v>
      </c>
      <c r="AU6" s="1">
        <v>23</v>
      </c>
      <c r="AV6" s="1">
        <v>13</v>
      </c>
      <c r="AW6" s="27">
        <v>21</v>
      </c>
    </row>
    <row r="7" spans="1:49" ht="16" x14ac:dyDescent="0.15">
      <c r="A7" s="23" t="s">
        <v>54</v>
      </c>
      <c r="B7" s="19">
        <v>28</v>
      </c>
      <c r="C7" s="9" t="s">
        <v>49</v>
      </c>
      <c r="D7" s="1">
        <v>25</v>
      </c>
      <c r="E7" s="1">
        <v>28</v>
      </c>
      <c r="F7" s="1">
        <v>25</v>
      </c>
      <c r="G7" s="1">
        <v>32</v>
      </c>
      <c r="H7" s="1">
        <v>20</v>
      </c>
      <c r="I7" s="1">
        <v>27</v>
      </c>
      <c r="J7" s="1">
        <v>16</v>
      </c>
      <c r="K7" s="1">
        <v>21</v>
      </c>
      <c r="L7" s="1">
        <v>22</v>
      </c>
      <c r="M7" s="1">
        <v>19</v>
      </c>
      <c r="N7" s="1">
        <v>20</v>
      </c>
      <c r="O7" s="1">
        <v>23</v>
      </c>
      <c r="P7" s="1">
        <v>26</v>
      </c>
      <c r="Q7" s="1">
        <v>27</v>
      </c>
      <c r="R7" s="1">
        <v>27</v>
      </c>
      <c r="S7" s="1">
        <v>27</v>
      </c>
      <c r="T7" s="1">
        <v>25</v>
      </c>
      <c r="U7" s="1">
        <v>27</v>
      </c>
      <c r="V7" s="1">
        <v>18</v>
      </c>
      <c r="W7" s="1">
        <v>22</v>
      </c>
      <c r="X7" s="1">
        <v>21</v>
      </c>
      <c r="Y7" s="1">
        <v>23</v>
      </c>
      <c r="Z7" s="1">
        <v>21</v>
      </c>
      <c r="AA7" s="1">
        <v>20</v>
      </c>
      <c r="AB7" s="1">
        <v>19</v>
      </c>
      <c r="AC7" s="1">
        <v>21</v>
      </c>
      <c r="AD7" s="1">
        <v>20</v>
      </c>
      <c r="AE7" s="1">
        <v>23</v>
      </c>
      <c r="AF7" s="9" t="s">
        <v>49</v>
      </c>
      <c r="AG7" s="1">
        <v>21</v>
      </c>
      <c r="AH7" s="1">
        <v>25</v>
      </c>
      <c r="AI7" s="1">
        <v>21</v>
      </c>
      <c r="AJ7" s="1">
        <v>19</v>
      </c>
      <c r="AK7" s="1">
        <v>22</v>
      </c>
      <c r="AL7" s="1">
        <v>20</v>
      </c>
      <c r="AM7" s="9" t="s">
        <v>49</v>
      </c>
      <c r="AN7" s="1">
        <v>16</v>
      </c>
      <c r="AO7" s="1">
        <v>16</v>
      </c>
      <c r="AP7" s="1">
        <v>14</v>
      </c>
      <c r="AQ7" s="1">
        <v>19</v>
      </c>
      <c r="AR7" s="1">
        <v>19</v>
      </c>
      <c r="AS7" s="1">
        <v>9</v>
      </c>
      <c r="AT7" s="1">
        <v>21</v>
      </c>
      <c r="AU7" s="9" t="s">
        <v>49</v>
      </c>
      <c r="AV7" s="1">
        <v>19</v>
      </c>
      <c r="AW7" s="27">
        <v>29</v>
      </c>
    </row>
    <row r="8" spans="1:49" ht="16" x14ac:dyDescent="0.15">
      <c r="A8" s="23" t="s">
        <v>55</v>
      </c>
      <c r="B8" s="19">
        <v>21</v>
      </c>
      <c r="C8" s="1">
        <v>23</v>
      </c>
      <c r="D8" s="1">
        <v>27</v>
      </c>
      <c r="E8" s="1">
        <v>28</v>
      </c>
      <c r="F8" s="1">
        <v>28</v>
      </c>
      <c r="G8" s="1">
        <v>28</v>
      </c>
      <c r="H8" s="1">
        <v>18</v>
      </c>
      <c r="I8" s="1">
        <v>30</v>
      </c>
      <c r="J8" s="1">
        <v>26</v>
      </c>
      <c r="K8" s="1">
        <v>20</v>
      </c>
      <c r="L8" s="1">
        <v>18</v>
      </c>
      <c r="M8" s="1">
        <v>18</v>
      </c>
      <c r="N8" s="1">
        <v>24</v>
      </c>
      <c r="O8" s="1">
        <v>23</v>
      </c>
      <c r="P8" s="1">
        <v>25</v>
      </c>
      <c r="Q8" s="1">
        <v>15</v>
      </c>
      <c r="R8" s="9" t="s">
        <v>49</v>
      </c>
      <c r="S8" s="1">
        <v>27</v>
      </c>
      <c r="T8" s="1">
        <v>28</v>
      </c>
      <c r="U8" s="1">
        <v>25</v>
      </c>
      <c r="V8" s="1">
        <v>20</v>
      </c>
      <c r="W8" s="1">
        <v>23</v>
      </c>
      <c r="X8" s="1">
        <v>19</v>
      </c>
      <c r="Y8" s="1">
        <v>18</v>
      </c>
      <c r="Z8" s="1">
        <v>21</v>
      </c>
      <c r="AA8" s="1">
        <v>20</v>
      </c>
      <c r="AB8" s="1">
        <v>21</v>
      </c>
      <c r="AC8" s="1">
        <v>23</v>
      </c>
      <c r="AD8" s="1">
        <v>19</v>
      </c>
      <c r="AE8" s="1">
        <v>20</v>
      </c>
      <c r="AF8" s="1">
        <v>22</v>
      </c>
      <c r="AG8" s="1">
        <v>23</v>
      </c>
      <c r="AH8" s="1">
        <v>9</v>
      </c>
      <c r="AI8" s="1">
        <v>24</v>
      </c>
      <c r="AJ8" s="1">
        <v>17</v>
      </c>
      <c r="AK8" s="1">
        <v>18</v>
      </c>
      <c r="AL8" s="1">
        <v>17</v>
      </c>
      <c r="AM8" s="1">
        <v>26</v>
      </c>
      <c r="AN8" s="1">
        <v>18</v>
      </c>
      <c r="AO8" s="1">
        <v>24</v>
      </c>
      <c r="AP8" s="1">
        <v>18</v>
      </c>
      <c r="AQ8" s="1">
        <v>20</v>
      </c>
      <c r="AR8" s="1">
        <v>16</v>
      </c>
      <c r="AS8" s="1">
        <v>24</v>
      </c>
      <c r="AT8" s="1">
        <v>16</v>
      </c>
      <c r="AU8" s="1">
        <v>23</v>
      </c>
      <c r="AV8" s="1">
        <v>27</v>
      </c>
      <c r="AW8" s="27">
        <v>18</v>
      </c>
    </row>
    <row r="9" spans="1:49" ht="16" x14ac:dyDescent="0.15">
      <c r="A9" s="23" t="s">
        <v>56</v>
      </c>
      <c r="B9" s="19">
        <v>29</v>
      </c>
      <c r="C9" s="9" t="s">
        <v>49</v>
      </c>
      <c r="D9" s="1">
        <v>30</v>
      </c>
      <c r="E9" s="1">
        <v>25</v>
      </c>
      <c r="F9" s="1">
        <v>22</v>
      </c>
      <c r="G9" s="1">
        <v>32</v>
      </c>
      <c r="H9" s="1">
        <v>12</v>
      </c>
      <c r="I9" s="1">
        <v>27</v>
      </c>
      <c r="J9" s="1">
        <v>22</v>
      </c>
      <c r="K9" s="1">
        <v>10</v>
      </c>
      <c r="L9" s="1">
        <v>24</v>
      </c>
      <c r="M9" s="1">
        <v>23</v>
      </c>
      <c r="N9" s="1">
        <v>26</v>
      </c>
      <c r="O9" s="1">
        <v>23</v>
      </c>
      <c r="P9" s="1">
        <v>24</v>
      </c>
      <c r="Q9" s="1">
        <v>14</v>
      </c>
      <c r="R9" s="1">
        <v>25</v>
      </c>
      <c r="S9" s="1">
        <v>27</v>
      </c>
      <c r="T9" s="1">
        <v>30</v>
      </c>
      <c r="U9" s="1">
        <v>28</v>
      </c>
      <c r="V9" s="1">
        <v>23</v>
      </c>
      <c r="W9" s="1">
        <v>24</v>
      </c>
      <c r="X9" s="9" t="s">
        <v>49</v>
      </c>
      <c r="Y9" s="1">
        <v>21</v>
      </c>
      <c r="Z9" s="1">
        <v>21</v>
      </c>
      <c r="AA9" s="1">
        <v>17</v>
      </c>
      <c r="AB9" s="1">
        <v>21</v>
      </c>
      <c r="AC9" s="1">
        <v>22</v>
      </c>
      <c r="AD9" s="1">
        <v>20</v>
      </c>
      <c r="AE9" s="1">
        <v>20</v>
      </c>
      <c r="AF9" s="1">
        <v>25</v>
      </c>
      <c r="AG9" s="1">
        <v>19</v>
      </c>
      <c r="AH9" s="1">
        <v>25</v>
      </c>
      <c r="AI9" s="1">
        <v>27</v>
      </c>
      <c r="AJ9" s="1">
        <v>21</v>
      </c>
      <c r="AK9" s="1">
        <v>22</v>
      </c>
      <c r="AL9" s="1">
        <v>22</v>
      </c>
      <c r="AM9" s="9" t="s">
        <v>49</v>
      </c>
      <c r="AN9" s="1">
        <v>23</v>
      </c>
      <c r="AO9" s="1">
        <v>25</v>
      </c>
      <c r="AP9" s="1">
        <v>13</v>
      </c>
      <c r="AQ9" s="1">
        <v>22</v>
      </c>
      <c r="AR9" s="1">
        <v>13</v>
      </c>
      <c r="AS9" s="1">
        <v>18</v>
      </c>
      <c r="AT9" s="1">
        <v>19</v>
      </c>
      <c r="AU9" s="9" t="s">
        <v>49</v>
      </c>
      <c r="AV9" s="1">
        <v>20</v>
      </c>
      <c r="AW9" s="27">
        <v>23</v>
      </c>
    </row>
    <row r="10" spans="1:49" ht="16" x14ac:dyDescent="0.15">
      <c r="A10" s="23" t="s">
        <v>57</v>
      </c>
      <c r="B10" s="19">
        <v>24</v>
      </c>
      <c r="C10" s="1">
        <v>23</v>
      </c>
      <c r="D10" s="1">
        <v>27</v>
      </c>
      <c r="E10" s="1">
        <v>21</v>
      </c>
      <c r="F10" s="1">
        <v>26</v>
      </c>
      <c r="G10" s="1">
        <v>31</v>
      </c>
      <c r="H10" s="1">
        <v>23</v>
      </c>
      <c r="I10" s="1">
        <v>28</v>
      </c>
      <c r="J10" s="1">
        <v>21</v>
      </c>
      <c r="K10" s="1">
        <v>20</v>
      </c>
      <c r="L10" s="1">
        <v>21</v>
      </c>
      <c r="M10" s="1">
        <v>21</v>
      </c>
      <c r="N10" s="1">
        <v>22</v>
      </c>
      <c r="O10" s="1">
        <v>22</v>
      </c>
      <c r="P10" s="1">
        <v>18</v>
      </c>
      <c r="Q10" s="1">
        <v>13</v>
      </c>
      <c r="R10" s="1">
        <v>28</v>
      </c>
      <c r="S10" s="1">
        <v>28</v>
      </c>
      <c r="T10" s="1">
        <v>23</v>
      </c>
      <c r="U10" s="1">
        <v>27</v>
      </c>
      <c r="V10" s="9" t="s">
        <v>49</v>
      </c>
      <c r="W10" s="1">
        <v>21</v>
      </c>
      <c r="X10" s="1">
        <v>16</v>
      </c>
      <c r="Y10" s="1">
        <v>20</v>
      </c>
      <c r="Z10" s="1">
        <v>21</v>
      </c>
      <c r="AA10" s="1">
        <v>23</v>
      </c>
      <c r="AB10" s="1">
        <v>24</v>
      </c>
      <c r="AC10" s="1">
        <v>19</v>
      </c>
      <c r="AD10" s="1">
        <v>20</v>
      </c>
      <c r="AE10" s="1">
        <v>19</v>
      </c>
      <c r="AF10" s="1">
        <v>24</v>
      </c>
      <c r="AG10" s="1">
        <v>24</v>
      </c>
      <c r="AH10" s="1">
        <v>16</v>
      </c>
      <c r="AI10" s="1">
        <v>23</v>
      </c>
      <c r="AJ10" s="1">
        <v>18</v>
      </c>
      <c r="AK10" s="1">
        <v>21</v>
      </c>
      <c r="AL10" s="1">
        <v>19</v>
      </c>
      <c r="AM10" s="1">
        <v>27</v>
      </c>
      <c r="AN10" s="1">
        <v>23</v>
      </c>
      <c r="AO10" s="1">
        <v>22</v>
      </c>
      <c r="AP10" s="1">
        <v>16</v>
      </c>
      <c r="AQ10" s="1">
        <v>25</v>
      </c>
      <c r="AR10" s="1">
        <v>20</v>
      </c>
      <c r="AS10" s="1">
        <v>20</v>
      </c>
      <c r="AT10" s="1">
        <v>18</v>
      </c>
      <c r="AU10" s="1">
        <v>24</v>
      </c>
      <c r="AV10" s="1">
        <v>16</v>
      </c>
      <c r="AW10" s="27">
        <v>17</v>
      </c>
    </row>
    <row r="11" spans="1:49" ht="16" x14ac:dyDescent="0.15">
      <c r="A11" s="23" t="s">
        <v>58</v>
      </c>
      <c r="B11" s="19">
        <v>13</v>
      </c>
      <c r="C11" s="9" t="s">
        <v>49</v>
      </c>
      <c r="D11" s="1">
        <v>25</v>
      </c>
      <c r="E11" s="1">
        <v>27</v>
      </c>
      <c r="F11" s="1">
        <v>25</v>
      </c>
      <c r="G11" s="9" t="s">
        <v>49</v>
      </c>
      <c r="H11" s="1">
        <v>26</v>
      </c>
      <c r="I11" s="1">
        <v>27</v>
      </c>
      <c r="J11" s="9" t="s">
        <v>49</v>
      </c>
      <c r="K11" s="1">
        <v>19</v>
      </c>
      <c r="L11" s="1">
        <v>21</v>
      </c>
      <c r="M11" s="1">
        <v>16</v>
      </c>
      <c r="N11" s="1">
        <v>20</v>
      </c>
      <c r="O11" s="1">
        <v>21</v>
      </c>
      <c r="P11" s="9" t="s">
        <v>49</v>
      </c>
      <c r="Q11" s="1">
        <v>18</v>
      </c>
      <c r="R11" s="1">
        <v>24</v>
      </c>
      <c r="S11" s="1">
        <v>22</v>
      </c>
      <c r="T11" s="1">
        <v>27</v>
      </c>
      <c r="U11" s="1">
        <v>29</v>
      </c>
      <c r="V11" s="1">
        <v>22</v>
      </c>
      <c r="W11" s="1">
        <v>20</v>
      </c>
      <c r="X11" s="1">
        <v>18</v>
      </c>
      <c r="Y11" s="28">
        <v>18</v>
      </c>
      <c r="Z11" s="1">
        <v>21</v>
      </c>
      <c r="AA11" s="1">
        <v>21</v>
      </c>
      <c r="AB11" s="1">
        <v>21</v>
      </c>
      <c r="AC11" s="1">
        <v>21</v>
      </c>
      <c r="AD11" s="1">
        <v>19</v>
      </c>
      <c r="AE11" s="1">
        <v>19</v>
      </c>
      <c r="AF11" s="1">
        <v>26</v>
      </c>
      <c r="AG11" s="1">
        <v>23</v>
      </c>
      <c r="AH11" s="1">
        <v>22</v>
      </c>
      <c r="AI11" s="1">
        <v>22</v>
      </c>
      <c r="AJ11" s="1">
        <v>21</v>
      </c>
      <c r="AK11" s="1">
        <v>24</v>
      </c>
      <c r="AL11" s="1">
        <v>22</v>
      </c>
      <c r="AM11" s="1">
        <v>26</v>
      </c>
      <c r="AN11" s="1">
        <v>19</v>
      </c>
      <c r="AO11" s="1">
        <v>22</v>
      </c>
      <c r="AP11" s="1">
        <v>16</v>
      </c>
      <c r="AQ11" s="1">
        <v>22</v>
      </c>
      <c r="AR11" s="1">
        <v>20</v>
      </c>
      <c r="AS11" s="1">
        <v>10</v>
      </c>
      <c r="AT11" s="1">
        <v>18</v>
      </c>
      <c r="AU11" s="1">
        <v>19</v>
      </c>
      <c r="AV11" s="1">
        <v>18</v>
      </c>
      <c r="AW11" s="27">
        <v>19</v>
      </c>
    </row>
    <row r="12" spans="1:49" ht="16" x14ac:dyDescent="0.15">
      <c r="A12" s="23" t="s">
        <v>59</v>
      </c>
      <c r="B12" s="19">
        <v>25</v>
      </c>
      <c r="C12" s="1">
        <v>20</v>
      </c>
      <c r="D12" s="1">
        <v>18</v>
      </c>
      <c r="E12" s="1">
        <v>26</v>
      </c>
      <c r="F12" s="1">
        <v>28</v>
      </c>
      <c r="G12" s="1">
        <v>29</v>
      </c>
      <c r="H12" s="1">
        <v>30</v>
      </c>
      <c r="I12" s="1">
        <v>24</v>
      </c>
      <c r="J12" s="1">
        <v>19</v>
      </c>
      <c r="K12" s="1">
        <v>23</v>
      </c>
      <c r="L12" s="1">
        <v>19</v>
      </c>
      <c r="M12" s="1">
        <v>13</v>
      </c>
      <c r="N12" s="1">
        <v>23</v>
      </c>
      <c r="O12" s="1">
        <v>24</v>
      </c>
      <c r="P12" s="1">
        <v>30</v>
      </c>
      <c r="Q12" s="9" t="s">
        <v>49</v>
      </c>
      <c r="R12" s="1">
        <v>23</v>
      </c>
      <c r="S12" s="1">
        <v>15</v>
      </c>
      <c r="T12" s="1">
        <v>28</v>
      </c>
      <c r="U12" s="1">
        <v>25</v>
      </c>
      <c r="V12" s="1">
        <v>17</v>
      </c>
      <c r="W12" s="1">
        <v>19</v>
      </c>
      <c r="X12" s="1">
        <v>20</v>
      </c>
      <c r="Y12" s="1">
        <v>22</v>
      </c>
      <c r="Z12" s="1">
        <v>17</v>
      </c>
      <c r="AA12" s="1">
        <v>20</v>
      </c>
      <c r="AB12" s="1">
        <v>19</v>
      </c>
      <c r="AC12" s="1">
        <v>24</v>
      </c>
      <c r="AD12" s="1">
        <v>21</v>
      </c>
      <c r="AE12" s="1">
        <v>24</v>
      </c>
      <c r="AF12" s="1">
        <v>27</v>
      </c>
      <c r="AG12" s="1">
        <v>26</v>
      </c>
      <c r="AH12" s="1">
        <v>17</v>
      </c>
      <c r="AI12" s="1">
        <v>24</v>
      </c>
      <c r="AJ12" s="1">
        <v>19</v>
      </c>
      <c r="AK12" s="1">
        <v>22</v>
      </c>
      <c r="AL12" s="1">
        <v>19</v>
      </c>
      <c r="AM12" s="1">
        <v>26</v>
      </c>
      <c r="AN12" s="1">
        <v>19</v>
      </c>
      <c r="AO12" s="1">
        <v>13</v>
      </c>
      <c r="AP12" s="1">
        <v>10</v>
      </c>
      <c r="AQ12" s="1">
        <v>23</v>
      </c>
      <c r="AR12" s="1">
        <v>16</v>
      </c>
      <c r="AS12" s="1">
        <v>23</v>
      </c>
      <c r="AT12" s="1">
        <v>12</v>
      </c>
      <c r="AU12" s="1">
        <v>24</v>
      </c>
      <c r="AV12" s="1">
        <v>18</v>
      </c>
      <c r="AW12" s="27">
        <v>27</v>
      </c>
    </row>
    <row r="13" spans="1:49" ht="16" x14ac:dyDescent="0.15">
      <c r="A13" s="23" t="s">
        <v>60</v>
      </c>
      <c r="B13" s="19">
        <v>15</v>
      </c>
      <c r="C13" s="1">
        <v>18</v>
      </c>
      <c r="D13" s="1">
        <v>28</v>
      </c>
      <c r="E13" s="1">
        <v>30</v>
      </c>
      <c r="F13" s="1">
        <v>26</v>
      </c>
      <c r="G13" s="1">
        <v>27</v>
      </c>
      <c r="H13" s="1">
        <v>23</v>
      </c>
      <c r="I13" s="1">
        <v>23</v>
      </c>
      <c r="J13" s="1">
        <v>21</v>
      </c>
      <c r="K13" s="1">
        <v>19</v>
      </c>
      <c r="L13" s="1">
        <v>21</v>
      </c>
      <c r="M13" s="1">
        <v>20</v>
      </c>
      <c r="N13" s="1">
        <v>25</v>
      </c>
      <c r="O13" s="1">
        <v>21</v>
      </c>
      <c r="P13" s="1">
        <v>29</v>
      </c>
      <c r="Q13" s="1">
        <v>30</v>
      </c>
      <c r="R13" s="1">
        <v>29</v>
      </c>
      <c r="S13" s="1">
        <v>27</v>
      </c>
      <c r="T13" s="1">
        <v>22</v>
      </c>
      <c r="U13" s="1">
        <v>24</v>
      </c>
      <c r="V13" s="1">
        <v>23</v>
      </c>
      <c r="W13" s="1">
        <v>23</v>
      </c>
      <c r="X13" s="1">
        <v>21</v>
      </c>
      <c r="Y13" s="1">
        <v>19</v>
      </c>
      <c r="Z13" s="28">
        <v>20</v>
      </c>
      <c r="AA13" s="1">
        <v>18</v>
      </c>
      <c r="AB13" s="1">
        <v>20</v>
      </c>
      <c r="AC13" s="1">
        <v>16</v>
      </c>
      <c r="AD13" s="1">
        <v>23</v>
      </c>
      <c r="AE13" s="9" t="s">
        <v>49</v>
      </c>
      <c r="AF13" s="1">
        <v>20</v>
      </c>
      <c r="AG13" s="9" t="s">
        <v>49</v>
      </c>
      <c r="AH13" s="1">
        <v>21</v>
      </c>
      <c r="AI13" s="1">
        <v>22</v>
      </c>
      <c r="AJ13" s="1">
        <v>23</v>
      </c>
      <c r="AK13" s="1">
        <v>21</v>
      </c>
      <c r="AL13" s="1">
        <v>20</v>
      </c>
      <c r="AM13" s="1">
        <v>19</v>
      </c>
      <c r="AN13" s="1">
        <v>17</v>
      </c>
      <c r="AO13" s="1">
        <v>23</v>
      </c>
      <c r="AP13" s="1">
        <v>16</v>
      </c>
      <c r="AQ13" s="1">
        <v>12</v>
      </c>
      <c r="AR13" s="1">
        <v>20</v>
      </c>
      <c r="AS13" s="9" t="s">
        <v>49</v>
      </c>
      <c r="AT13" s="1">
        <v>16</v>
      </c>
      <c r="AU13" s="9" t="s">
        <v>49</v>
      </c>
      <c r="AV13" s="1">
        <v>16</v>
      </c>
      <c r="AW13" s="27">
        <v>13</v>
      </c>
    </row>
    <row r="14" spans="1:49" ht="16" x14ac:dyDescent="0.15">
      <c r="A14" s="23" t="s">
        <v>61</v>
      </c>
      <c r="B14" s="19">
        <v>27</v>
      </c>
      <c r="C14" s="1">
        <v>23</v>
      </c>
      <c r="D14" s="9" t="s">
        <v>49</v>
      </c>
      <c r="E14" s="1">
        <v>18</v>
      </c>
      <c r="F14" s="1">
        <v>20</v>
      </c>
      <c r="G14" s="1">
        <v>29</v>
      </c>
      <c r="H14" s="1">
        <v>20</v>
      </c>
      <c r="I14" s="1">
        <v>29</v>
      </c>
      <c r="J14" s="1">
        <v>20</v>
      </c>
      <c r="K14" s="1">
        <v>17</v>
      </c>
      <c r="L14" s="1">
        <v>16</v>
      </c>
      <c r="M14" s="1">
        <v>18</v>
      </c>
      <c r="N14" s="1">
        <v>26</v>
      </c>
      <c r="O14" s="1">
        <v>21</v>
      </c>
      <c r="P14" s="1">
        <v>25</v>
      </c>
      <c r="Q14" s="1">
        <v>29</v>
      </c>
      <c r="R14" s="1">
        <v>24</v>
      </c>
      <c r="S14" s="1">
        <v>30</v>
      </c>
      <c r="T14" s="1">
        <v>26</v>
      </c>
      <c r="U14" s="1">
        <v>27</v>
      </c>
      <c r="V14" s="1">
        <v>18</v>
      </c>
      <c r="W14" s="1">
        <v>21</v>
      </c>
      <c r="X14" s="1">
        <v>18</v>
      </c>
      <c r="Y14" s="1">
        <v>24</v>
      </c>
      <c r="Z14" s="9" t="s">
        <v>49</v>
      </c>
      <c r="AA14" s="1">
        <v>19</v>
      </c>
      <c r="AB14" s="1">
        <v>25</v>
      </c>
      <c r="AC14" s="1">
        <v>23</v>
      </c>
      <c r="AD14" s="9" t="s">
        <v>49</v>
      </c>
      <c r="AE14" s="1">
        <v>20</v>
      </c>
      <c r="AF14" s="1">
        <v>23</v>
      </c>
      <c r="AG14" s="1">
        <v>25</v>
      </c>
      <c r="AH14" s="1">
        <v>20</v>
      </c>
      <c r="AI14" s="1">
        <v>23</v>
      </c>
      <c r="AJ14" s="1">
        <v>21</v>
      </c>
      <c r="AK14" s="1">
        <v>28</v>
      </c>
      <c r="AL14" s="1">
        <v>15</v>
      </c>
      <c r="AM14" s="1">
        <v>29</v>
      </c>
      <c r="AN14" s="1">
        <v>21</v>
      </c>
      <c r="AO14" s="1">
        <v>19</v>
      </c>
      <c r="AP14" s="1">
        <v>19</v>
      </c>
      <c r="AQ14" s="1">
        <v>27</v>
      </c>
      <c r="AR14" s="1">
        <v>16</v>
      </c>
      <c r="AS14" s="1">
        <v>18</v>
      </c>
      <c r="AT14" s="1">
        <v>15</v>
      </c>
      <c r="AU14" s="1">
        <v>21</v>
      </c>
      <c r="AV14" s="1">
        <v>17</v>
      </c>
      <c r="AW14" s="27">
        <v>28</v>
      </c>
    </row>
    <row r="15" spans="1:49" ht="16" x14ac:dyDescent="0.15">
      <c r="A15" s="23" t="s">
        <v>62</v>
      </c>
      <c r="B15" s="20" t="s">
        <v>49</v>
      </c>
      <c r="C15" s="1">
        <v>18</v>
      </c>
      <c r="D15" s="1">
        <v>25</v>
      </c>
      <c r="E15" s="1">
        <v>15</v>
      </c>
      <c r="F15" s="1">
        <v>19</v>
      </c>
      <c r="G15" s="1">
        <v>29</v>
      </c>
      <c r="H15" s="1">
        <v>23</v>
      </c>
      <c r="I15" s="1">
        <v>24</v>
      </c>
      <c r="J15" s="1">
        <v>16</v>
      </c>
      <c r="K15" s="9" t="s">
        <v>49</v>
      </c>
      <c r="L15" s="1">
        <v>22</v>
      </c>
      <c r="M15" s="1">
        <v>13</v>
      </c>
      <c r="N15" s="1">
        <v>27</v>
      </c>
      <c r="O15" s="1">
        <v>22</v>
      </c>
      <c r="P15" s="9" t="s">
        <v>49</v>
      </c>
      <c r="Q15" s="1">
        <v>25</v>
      </c>
      <c r="R15" s="1">
        <v>22</v>
      </c>
      <c r="S15" s="9" t="s">
        <v>49</v>
      </c>
      <c r="T15" s="1">
        <v>23</v>
      </c>
      <c r="U15" s="1">
        <v>22</v>
      </c>
      <c r="V15" s="1">
        <v>25</v>
      </c>
      <c r="W15" s="1">
        <v>26</v>
      </c>
      <c r="X15" s="1">
        <v>19</v>
      </c>
      <c r="Y15" s="1">
        <v>20</v>
      </c>
      <c r="Z15" s="1">
        <v>21</v>
      </c>
      <c r="AA15" s="1">
        <v>21</v>
      </c>
      <c r="AB15" s="1">
        <v>18</v>
      </c>
      <c r="AC15" s="1">
        <v>15</v>
      </c>
      <c r="AD15" s="1">
        <v>20</v>
      </c>
      <c r="AE15" s="1">
        <v>6</v>
      </c>
      <c r="AF15" s="1">
        <v>20</v>
      </c>
      <c r="AG15" s="9" t="s">
        <v>49</v>
      </c>
      <c r="AH15" s="1">
        <v>17</v>
      </c>
      <c r="AI15" s="1">
        <v>21</v>
      </c>
      <c r="AJ15" s="1">
        <v>19</v>
      </c>
      <c r="AK15" s="9" t="s">
        <v>49</v>
      </c>
      <c r="AL15" s="1">
        <v>21</v>
      </c>
      <c r="AM15" s="1">
        <v>25</v>
      </c>
      <c r="AN15" s="9" t="s">
        <v>49</v>
      </c>
      <c r="AO15" s="1">
        <v>27</v>
      </c>
      <c r="AP15" s="1">
        <v>18</v>
      </c>
      <c r="AQ15" s="1">
        <v>25</v>
      </c>
      <c r="AR15" s="1">
        <v>20</v>
      </c>
      <c r="AS15" s="9" t="s">
        <v>49</v>
      </c>
      <c r="AT15" s="1">
        <v>19</v>
      </c>
      <c r="AU15" s="1">
        <v>18</v>
      </c>
      <c r="AV15" s="1">
        <v>18</v>
      </c>
      <c r="AW15" s="27">
        <v>25</v>
      </c>
    </row>
    <row r="16" spans="1:49" ht="16" x14ac:dyDescent="0.15">
      <c r="A16" s="23" t="s">
        <v>63</v>
      </c>
      <c r="B16" s="19">
        <v>28</v>
      </c>
      <c r="C16" s="1"/>
      <c r="D16" s="1">
        <v>24</v>
      </c>
      <c r="E16" s="1"/>
      <c r="F16" s="1">
        <v>30</v>
      </c>
      <c r="G16" s="1">
        <v>27</v>
      </c>
      <c r="H16" s="1">
        <v>25</v>
      </c>
      <c r="I16" s="1">
        <v>32</v>
      </c>
      <c r="J16" s="1">
        <v>25</v>
      </c>
      <c r="K16" s="1">
        <v>18</v>
      </c>
      <c r="L16" s="1">
        <v>20</v>
      </c>
      <c r="M16" s="1">
        <v>16</v>
      </c>
      <c r="N16" s="1">
        <v>18</v>
      </c>
      <c r="O16" s="1">
        <v>27</v>
      </c>
      <c r="P16" s="1">
        <v>27</v>
      </c>
      <c r="Q16" s="9" t="s">
        <v>49</v>
      </c>
      <c r="R16" s="9" t="s">
        <v>49</v>
      </c>
      <c r="S16" s="1">
        <v>29</v>
      </c>
      <c r="T16" s="1">
        <v>28</v>
      </c>
      <c r="U16" s="1">
        <v>26</v>
      </c>
      <c r="V16" s="1">
        <v>21</v>
      </c>
      <c r="W16" s="1"/>
      <c r="X16" s="1">
        <v>19</v>
      </c>
      <c r="Y16" s="1">
        <v>22</v>
      </c>
      <c r="Z16" s="1">
        <v>24</v>
      </c>
      <c r="AA16" s="1">
        <v>22</v>
      </c>
      <c r="AB16" s="1">
        <v>21</v>
      </c>
      <c r="AC16" s="1">
        <v>20</v>
      </c>
      <c r="AD16" s="1">
        <v>21</v>
      </c>
      <c r="AE16" s="1">
        <v>20</v>
      </c>
      <c r="AF16" s="1">
        <v>25</v>
      </c>
      <c r="AG16" s="1">
        <v>20</v>
      </c>
      <c r="AH16" s="1">
        <v>16</v>
      </c>
      <c r="AI16" s="1">
        <v>25</v>
      </c>
      <c r="AJ16" s="1">
        <v>16</v>
      </c>
      <c r="AK16" s="1">
        <v>23</v>
      </c>
      <c r="AL16" s="1">
        <v>15</v>
      </c>
      <c r="AM16" s="1">
        <v>25</v>
      </c>
      <c r="AN16" s="1">
        <v>17</v>
      </c>
      <c r="AO16" s="9" t="s">
        <v>49</v>
      </c>
      <c r="AP16" s="1">
        <v>17</v>
      </c>
      <c r="AQ16" s="1">
        <v>20</v>
      </c>
      <c r="AR16" s="1">
        <v>13</v>
      </c>
      <c r="AS16" s="1">
        <v>20</v>
      </c>
      <c r="AT16" s="1">
        <v>16</v>
      </c>
      <c r="AU16" s="1">
        <v>20</v>
      </c>
      <c r="AV16" s="1">
        <v>20</v>
      </c>
      <c r="AW16" s="27">
        <v>26</v>
      </c>
    </row>
    <row r="17" spans="1:49" ht="16" x14ac:dyDescent="0.15">
      <c r="A17" s="23" t="s">
        <v>64</v>
      </c>
      <c r="B17" s="19">
        <v>23</v>
      </c>
      <c r="C17" s="3"/>
      <c r="D17" s="9" t="s">
        <v>49</v>
      </c>
      <c r="E17" s="3"/>
      <c r="F17" s="1">
        <v>24</v>
      </c>
      <c r="G17" s="1">
        <v>25</v>
      </c>
      <c r="H17" s="1">
        <v>29</v>
      </c>
      <c r="I17" s="1">
        <v>26</v>
      </c>
      <c r="J17" s="1">
        <v>26</v>
      </c>
      <c r="K17" s="1"/>
      <c r="L17" s="1">
        <v>16</v>
      </c>
      <c r="M17" s="1">
        <v>23</v>
      </c>
      <c r="N17" s="1">
        <v>25</v>
      </c>
      <c r="O17" s="1">
        <v>25</v>
      </c>
      <c r="P17" s="1">
        <v>26</v>
      </c>
      <c r="Q17" s="1">
        <v>27</v>
      </c>
      <c r="R17" s="1">
        <v>22</v>
      </c>
      <c r="S17" s="9" t="s">
        <v>49</v>
      </c>
      <c r="T17" s="1">
        <v>21</v>
      </c>
      <c r="U17" s="1">
        <v>21</v>
      </c>
      <c r="V17" s="1">
        <v>22</v>
      </c>
      <c r="W17" s="3"/>
      <c r="X17" s="28">
        <v>17</v>
      </c>
      <c r="Y17" s="1">
        <v>20</v>
      </c>
      <c r="Z17" s="1">
        <v>20</v>
      </c>
      <c r="AA17" s="1"/>
      <c r="AB17" s="1">
        <v>21</v>
      </c>
      <c r="AC17" s="1"/>
      <c r="AD17" s="1">
        <v>23</v>
      </c>
      <c r="AE17" s="9" t="s">
        <v>49</v>
      </c>
      <c r="AF17" s="1">
        <v>27</v>
      </c>
      <c r="AG17" s="9" t="s">
        <v>49</v>
      </c>
      <c r="AH17" s="1">
        <v>17</v>
      </c>
      <c r="AI17" s="1">
        <v>20</v>
      </c>
      <c r="AJ17" s="1">
        <v>17</v>
      </c>
      <c r="AK17" s="1">
        <v>20</v>
      </c>
      <c r="AL17" s="1">
        <v>23</v>
      </c>
      <c r="AM17" s="1">
        <v>27</v>
      </c>
      <c r="AN17" s="1"/>
      <c r="AO17" s="1">
        <v>22</v>
      </c>
      <c r="AP17" s="1">
        <v>19</v>
      </c>
      <c r="AQ17" s="1">
        <v>22</v>
      </c>
      <c r="AR17" s="1">
        <v>19</v>
      </c>
      <c r="AS17" s="9" t="s">
        <v>49</v>
      </c>
      <c r="AT17" s="1">
        <v>21</v>
      </c>
      <c r="AU17" s="1">
        <v>20</v>
      </c>
      <c r="AV17" s="1">
        <v>15</v>
      </c>
      <c r="AW17" s="27">
        <v>24</v>
      </c>
    </row>
    <row r="18" spans="1:49" ht="16" x14ac:dyDescent="0.15">
      <c r="A18" s="23" t="s">
        <v>65</v>
      </c>
      <c r="B18" s="19">
        <v>24</v>
      </c>
      <c r="C18" s="1"/>
      <c r="D18" s="1">
        <v>27</v>
      </c>
      <c r="E18" s="1"/>
      <c r="F18" s="1"/>
      <c r="G18" s="9" t="s">
        <v>49</v>
      </c>
      <c r="H18" s="1"/>
      <c r="I18" s="1">
        <v>26</v>
      </c>
      <c r="J18" s="1">
        <v>18</v>
      </c>
      <c r="K18" s="3"/>
      <c r="L18" s="1">
        <v>18</v>
      </c>
      <c r="M18" s="1"/>
      <c r="N18" s="28">
        <v>22</v>
      </c>
      <c r="O18" s="1">
        <v>24</v>
      </c>
      <c r="P18" s="1">
        <v>24</v>
      </c>
      <c r="Q18" s="1">
        <v>26</v>
      </c>
      <c r="R18" s="1">
        <v>13</v>
      </c>
      <c r="S18" s="1">
        <v>27</v>
      </c>
      <c r="T18" s="1">
        <v>22</v>
      </c>
      <c r="U18" s="9" t="s">
        <v>49</v>
      </c>
      <c r="V18" s="1">
        <v>20</v>
      </c>
      <c r="W18" s="1"/>
      <c r="X18" s="1">
        <v>14</v>
      </c>
      <c r="Y18" s="1"/>
      <c r="Z18" s="1">
        <v>20</v>
      </c>
      <c r="AA18" s="3"/>
      <c r="AB18" s="1">
        <v>19</v>
      </c>
      <c r="AC18" s="3"/>
      <c r="AD18" s="1">
        <v>19</v>
      </c>
      <c r="AE18" s="1">
        <v>22</v>
      </c>
      <c r="AF18" s="1">
        <v>24</v>
      </c>
      <c r="AG18" s="1">
        <v>25</v>
      </c>
      <c r="AH18" s="9" t="s">
        <v>49</v>
      </c>
      <c r="AI18" s="1">
        <v>14</v>
      </c>
      <c r="AJ18" s="1">
        <v>17</v>
      </c>
      <c r="AK18" s="1">
        <v>22</v>
      </c>
      <c r="AL18" s="1">
        <v>17</v>
      </c>
      <c r="AM18" s="1"/>
      <c r="AN18" s="3"/>
      <c r="AO18" s="1"/>
      <c r="AP18" s="1">
        <v>17</v>
      </c>
      <c r="AQ18" s="1">
        <v>19</v>
      </c>
      <c r="AR18" s="1">
        <v>21</v>
      </c>
      <c r="AS18" s="1">
        <v>25</v>
      </c>
      <c r="AT18" s="1">
        <v>20</v>
      </c>
      <c r="AU18" s="1"/>
      <c r="AV18" s="1">
        <v>22</v>
      </c>
      <c r="AW18" s="27">
        <v>21</v>
      </c>
    </row>
    <row r="19" spans="1:49" ht="16" x14ac:dyDescent="0.15">
      <c r="A19" s="23" t="s">
        <v>66</v>
      </c>
      <c r="B19" s="19">
        <v>24</v>
      </c>
      <c r="C19" s="1"/>
      <c r="D19" s="1">
        <v>30</v>
      </c>
      <c r="E19" s="1"/>
      <c r="F19" s="3"/>
      <c r="G19" s="1">
        <v>31</v>
      </c>
      <c r="H19" s="3"/>
      <c r="I19" s="1">
        <v>31</v>
      </c>
      <c r="J19" s="1">
        <v>19</v>
      </c>
      <c r="K19" s="1"/>
      <c r="L19" s="1">
        <v>22</v>
      </c>
      <c r="M19" s="3"/>
      <c r="N19" s="1">
        <v>23</v>
      </c>
      <c r="O19" s="1">
        <v>23</v>
      </c>
      <c r="P19" s="9" t="s">
        <v>49</v>
      </c>
      <c r="Q19" s="1">
        <v>24</v>
      </c>
      <c r="R19" s="9" t="s">
        <v>49</v>
      </c>
      <c r="S19" s="1">
        <v>25</v>
      </c>
      <c r="T19" s="1">
        <v>20</v>
      </c>
      <c r="U19" s="1"/>
      <c r="V19" s="1">
        <v>19</v>
      </c>
      <c r="W19" s="1"/>
      <c r="X19" s="1">
        <v>18</v>
      </c>
      <c r="Y19" s="3"/>
      <c r="Z19" s="1">
        <v>23</v>
      </c>
      <c r="AA19" s="1"/>
      <c r="AB19" s="1">
        <v>13</v>
      </c>
      <c r="AC19" s="1"/>
      <c r="AD19" s="1">
        <v>25</v>
      </c>
      <c r="AE19" s="1">
        <v>20</v>
      </c>
      <c r="AF19" s="1">
        <v>22</v>
      </c>
      <c r="AG19" s="1"/>
      <c r="AH19" s="1">
        <v>23</v>
      </c>
      <c r="AI19" s="1">
        <v>19</v>
      </c>
      <c r="AJ19" s="1">
        <v>20</v>
      </c>
      <c r="AK19" s="1">
        <v>13</v>
      </c>
      <c r="AL19" s="1">
        <v>17</v>
      </c>
      <c r="AM19" s="3"/>
      <c r="AN19" s="1"/>
      <c r="AO19" s="3"/>
      <c r="AP19" s="1">
        <v>20</v>
      </c>
      <c r="AQ19" s="1">
        <v>25</v>
      </c>
      <c r="AR19" s="1">
        <v>22</v>
      </c>
      <c r="AS19" s="9" t="s">
        <v>49</v>
      </c>
      <c r="AT19" s="1">
        <v>21</v>
      </c>
      <c r="AU19" s="3"/>
      <c r="AV19" s="9" t="s">
        <v>49</v>
      </c>
      <c r="AW19" s="27"/>
    </row>
    <row r="20" spans="1:49" ht="16" x14ac:dyDescent="0.15">
      <c r="A20" s="23" t="s">
        <v>67</v>
      </c>
      <c r="B20" s="19">
        <v>13</v>
      </c>
      <c r="C20" s="1"/>
      <c r="D20" s="1">
        <v>19</v>
      </c>
      <c r="E20" s="1"/>
      <c r="F20" s="1"/>
      <c r="G20" s="1">
        <v>21</v>
      </c>
      <c r="H20" s="1"/>
      <c r="I20" s="1">
        <v>33</v>
      </c>
      <c r="J20" s="1">
        <v>21</v>
      </c>
      <c r="K20" s="1"/>
      <c r="L20" s="1"/>
      <c r="M20" s="1"/>
      <c r="N20" s="1">
        <v>24</v>
      </c>
      <c r="O20" s="1">
        <v>22</v>
      </c>
      <c r="P20" s="1">
        <v>26</v>
      </c>
      <c r="Q20" s="9" t="s">
        <v>49</v>
      </c>
      <c r="R20" s="9" t="s">
        <v>49</v>
      </c>
      <c r="S20" s="1">
        <v>29</v>
      </c>
      <c r="T20" s="1">
        <v>21</v>
      </c>
      <c r="U20" s="3"/>
      <c r="V20" s="1"/>
      <c r="W20" s="1"/>
      <c r="X20" s="1">
        <v>21</v>
      </c>
      <c r="Y20" s="1"/>
      <c r="Z20" s="1">
        <v>21</v>
      </c>
      <c r="AA20" s="1"/>
      <c r="AB20" s="1"/>
      <c r="AC20" s="1"/>
      <c r="AD20" s="1">
        <v>22</v>
      </c>
      <c r="AE20" s="1">
        <v>22</v>
      </c>
      <c r="AF20" s="1">
        <v>19</v>
      </c>
      <c r="AG20" s="3"/>
      <c r="AH20" s="1">
        <v>20</v>
      </c>
      <c r="AI20" s="1">
        <v>22</v>
      </c>
      <c r="AJ20" s="1"/>
      <c r="AK20" s="1">
        <v>18</v>
      </c>
      <c r="AL20" s="1"/>
      <c r="AM20" s="1"/>
      <c r="AN20" s="1"/>
      <c r="AO20" s="1"/>
      <c r="AP20" s="1">
        <v>24</v>
      </c>
      <c r="AQ20" s="1"/>
      <c r="AR20" s="1">
        <v>20</v>
      </c>
      <c r="AS20" s="1">
        <v>23</v>
      </c>
      <c r="AT20" s="1">
        <v>19</v>
      </c>
      <c r="AU20" s="1"/>
      <c r="AV20" s="1">
        <v>21</v>
      </c>
      <c r="AW20" s="29"/>
    </row>
    <row r="21" spans="1:49" ht="16" x14ac:dyDescent="0.15">
      <c r="A21" s="23" t="s">
        <v>68</v>
      </c>
      <c r="B21" s="19">
        <v>19</v>
      </c>
      <c r="C21" s="1"/>
      <c r="D21" s="1">
        <v>30</v>
      </c>
      <c r="E21" s="1"/>
      <c r="F21" s="1"/>
      <c r="G21" s="1"/>
      <c r="H21" s="1"/>
      <c r="I21" s="1">
        <v>28</v>
      </c>
      <c r="J21" s="1"/>
      <c r="K21" s="1"/>
      <c r="L21" s="3"/>
      <c r="M21" s="1"/>
      <c r="N21" s="1">
        <v>21</v>
      </c>
      <c r="O21" s="1">
        <v>25</v>
      </c>
      <c r="P21" s="9" t="s">
        <v>49</v>
      </c>
      <c r="Q21" s="1">
        <v>20</v>
      </c>
      <c r="R21" s="1">
        <v>22</v>
      </c>
      <c r="S21" s="1"/>
      <c r="T21" s="1">
        <v>22</v>
      </c>
      <c r="U21" s="1"/>
      <c r="V21" s="3"/>
      <c r="W21" s="1"/>
      <c r="X21" s="1">
        <v>17</v>
      </c>
      <c r="Y21" s="1"/>
      <c r="Z21" s="1"/>
      <c r="AA21" s="1"/>
      <c r="AB21" s="3"/>
      <c r="AC21" s="1"/>
      <c r="AD21" s="1">
        <v>19</v>
      </c>
      <c r="AE21" s="1"/>
      <c r="AF21" s="1"/>
      <c r="AG21" s="1"/>
      <c r="AH21" s="1"/>
      <c r="AI21" s="1">
        <v>17</v>
      </c>
      <c r="AJ21" s="3"/>
      <c r="AK21" s="1">
        <v>20</v>
      </c>
      <c r="AL21" s="3"/>
      <c r="AM21" s="1"/>
      <c r="AN21" s="1"/>
      <c r="AO21" s="1"/>
      <c r="AP21" s="1">
        <v>14</v>
      </c>
      <c r="AQ21" s="3"/>
      <c r="AR21" s="1"/>
      <c r="AS21" s="9" t="s">
        <v>49</v>
      </c>
      <c r="AT21" s="1">
        <v>20</v>
      </c>
      <c r="AU21" s="1"/>
      <c r="AV21" s="1">
        <v>18</v>
      </c>
      <c r="AW21" s="27"/>
    </row>
    <row r="22" spans="1:49" ht="16" x14ac:dyDescent="0.15">
      <c r="A22" s="23" t="s">
        <v>69</v>
      </c>
      <c r="B22" s="19">
        <v>19</v>
      </c>
      <c r="C22" s="1"/>
      <c r="D22" s="1">
        <v>24</v>
      </c>
      <c r="E22" s="1"/>
      <c r="F22" s="1"/>
      <c r="G22" s="3"/>
      <c r="H22" s="1"/>
      <c r="I22" s="1">
        <v>30</v>
      </c>
      <c r="J22" s="3"/>
      <c r="K22" s="1"/>
      <c r="L22" s="1"/>
      <c r="M22" s="1"/>
      <c r="N22" s="1">
        <v>22</v>
      </c>
      <c r="O22" s="1">
        <v>24</v>
      </c>
      <c r="P22" s="1">
        <v>26</v>
      </c>
      <c r="Q22" s="9" t="s">
        <v>49</v>
      </c>
      <c r="R22" s="1">
        <v>21</v>
      </c>
      <c r="S22" s="3"/>
      <c r="T22" s="1">
        <v>25</v>
      </c>
      <c r="U22" s="1"/>
      <c r="V22" s="1"/>
      <c r="W22" s="1"/>
      <c r="X22" s="1">
        <v>21</v>
      </c>
      <c r="Y22" s="1"/>
      <c r="Z22" s="3"/>
      <c r="AA22" s="1"/>
      <c r="AB22" s="1"/>
      <c r="AC22" s="1"/>
      <c r="AD22" s="1">
        <v>21</v>
      </c>
      <c r="AE22" s="3"/>
      <c r="AF22" s="3"/>
      <c r="AG22" s="1"/>
      <c r="AH22" s="3"/>
      <c r="AI22" s="1">
        <v>26</v>
      </c>
      <c r="AJ22" s="1"/>
      <c r="AK22" s="1">
        <v>17</v>
      </c>
      <c r="AL22" s="1"/>
      <c r="AM22" s="1"/>
      <c r="AN22" s="1"/>
      <c r="AO22" s="1"/>
      <c r="AP22" s="1">
        <v>22</v>
      </c>
      <c r="AQ22" s="1"/>
      <c r="AR22" s="3"/>
      <c r="AS22" s="1">
        <v>22</v>
      </c>
      <c r="AT22" s="1">
        <v>18</v>
      </c>
      <c r="AU22" s="1"/>
      <c r="AV22" s="1">
        <v>19</v>
      </c>
      <c r="AW22" s="27"/>
    </row>
    <row r="23" spans="1:49" ht="16" x14ac:dyDescent="0.15">
      <c r="A23" s="23" t="s">
        <v>70</v>
      </c>
      <c r="B23" s="19">
        <v>21</v>
      </c>
      <c r="C23" s="1"/>
      <c r="D23" s="1">
        <v>27</v>
      </c>
      <c r="E23" s="1"/>
      <c r="F23" s="1"/>
      <c r="G23" s="1"/>
      <c r="H23" s="1"/>
      <c r="I23" s="1">
        <v>27</v>
      </c>
      <c r="J23" s="1"/>
      <c r="K23" s="1"/>
      <c r="L23" s="1"/>
      <c r="M23" s="1"/>
      <c r="N23" s="1">
        <v>23</v>
      </c>
      <c r="O23" s="1"/>
      <c r="P23" s="1"/>
      <c r="Q23" s="1">
        <v>26</v>
      </c>
      <c r="R23" s="1"/>
      <c r="S23" s="1"/>
      <c r="T23" s="1">
        <v>25</v>
      </c>
      <c r="U23" s="1"/>
      <c r="V23" s="1"/>
      <c r="W23" s="1"/>
      <c r="X23" s="1">
        <v>16</v>
      </c>
      <c r="Y23" s="1"/>
      <c r="Z23" s="1"/>
      <c r="AA23" s="1"/>
      <c r="AB23" s="1"/>
      <c r="AC23" s="1"/>
      <c r="AD23" s="1">
        <v>20</v>
      </c>
      <c r="AE23" s="1"/>
      <c r="AF23" s="1"/>
      <c r="AG23" s="1"/>
      <c r="AH23" s="1"/>
      <c r="AI23" s="1">
        <v>17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v>20</v>
      </c>
      <c r="AU23" s="1"/>
      <c r="AV23" s="1">
        <v>20</v>
      </c>
      <c r="AW23" s="27"/>
    </row>
    <row r="24" spans="1:49" ht="16" x14ac:dyDescent="0.15">
      <c r="A24" s="23" t="s">
        <v>71</v>
      </c>
      <c r="B24" s="19"/>
      <c r="C24" s="1"/>
      <c r="D24" s="1">
        <v>29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3"/>
      <c r="Q24" s="1"/>
      <c r="R24" s="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>
        <v>19</v>
      </c>
      <c r="AE24" s="1"/>
      <c r="AF24" s="1"/>
      <c r="AG24" s="1"/>
      <c r="AH24" s="1"/>
      <c r="AI24" s="1"/>
      <c r="AJ24" s="1"/>
      <c r="AK24" s="3"/>
      <c r="AL24" s="1"/>
      <c r="AM24" s="1"/>
      <c r="AN24" s="1"/>
      <c r="AO24" s="1"/>
      <c r="AP24" s="3"/>
      <c r="AQ24" s="1"/>
      <c r="AR24" s="1"/>
      <c r="AS24" s="3"/>
      <c r="AT24" s="1">
        <v>23</v>
      </c>
      <c r="AU24" s="1"/>
      <c r="AV24" s="1">
        <v>15</v>
      </c>
      <c r="AW24" s="27"/>
    </row>
    <row r="25" spans="1:49" ht="16" x14ac:dyDescent="0.15">
      <c r="A25" s="23" t="s">
        <v>72</v>
      </c>
      <c r="B25" s="21"/>
      <c r="C25" s="1"/>
      <c r="D25" s="1">
        <v>30</v>
      </c>
      <c r="E25" s="1"/>
      <c r="F25" s="1"/>
      <c r="G25" s="1"/>
      <c r="H25" s="1"/>
      <c r="I25" s="3"/>
      <c r="J25" s="1"/>
      <c r="K25" s="1"/>
      <c r="L25" s="1"/>
      <c r="M25" s="1"/>
      <c r="N25" s="3"/>
      <c r="O25" s="1"/>
      <c r="P25" s="1"/>
      <c r="Q25" s="3"/>
      <c r="R25" s="1"/>
      <c r="S25" s="1"/>
      <c r="T25" s="3"/>
      <c r="U25" s="1"/>
      <c r="V25" s="1"/>
      <c r="W25" s="1"/>
      <c r="X25" s="3"/>
      <c r="Y25" s="1"/>
      <c r="Z25" s="1"/>
      <c r="AA25" s="1"/>
      <c r="AB25" s="1"/>
      <c r="AC25" s="1"/>
      <c r="AD25" s="1">
        <v>18</v>
      </c>
      <c r="AE25" s="1"/>
      <c r="AF25" s="1"/>
      <c r="AG25" s="1"/>
      <c r="AH25" s="1"/>
      <c r="AI25" s="3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>
        <v>17</v>
      </c>
      <c r="AW25" s="27"/>
    </row>
    <row r="26" spans="1:49" ht="16" x14ac:dyDescent="0.15">
      <c r="A26" s="23" t="s">
        <v>73</v>
      </c>
      <c r="B26" s="19"/>
      <c r="C26" s="1"/>
      <c r="D26" s="1">
        <v>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13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3"/>
      <c r="AU26" s="1"/>
      <c r="AV26" s="1"/>
      <c r="AW26" s="27"/>
    </row>
    <row r="27" spans="1:49" ht="16" x14ac:dyDescent="0.15">
      <c r="A27" s="23" t="s">
        <v>74</v>
      </c>
      <c r="B27" s="19"/>
      <c r="C27" s="1"/>
      <c r="D27" s="1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"/>
      <c r="AW27" s="27"/>
    </row>
    <row r="28" spans="1:49" ht="16" x14ac:dyDescent="0.15">
      <c r="A28" s="23" t="s">
        <v>75</v>
      </c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27"/>
    </row>
    <row r="29" spans="1:49" ht="17" thickBot="1" x14ac:dyDescent="0.2">
      <c r="A29" s="23" t="s">
        <v>76</v>
      </c>
      <c r="B29" s="19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27"/>
    </row>
    <row r="30" spans="1:49" ht="16" x14ac:dyDescent="0.15">
      <c r="A30" s="7" t="s">
        <v>78</v>
      </c>
      <c r="B30" s="8">
        <f>COUNTIF(B2:B29, "&gt;0")</f>
        <v>21</v>
      </c>
      <c r="C30" s="8">
        <f t="shared" ref="C30:AW30" si="0">COUNTIF(C2:C29, "&gt;0")</f>
        <v>9</v>
      </c>
      <c r="D30" s="8">
        <f t="shared" si="0"/>
        <v>23</v>
      </c>
      <c r="E30" s="8">
        <f t="shared" si="0"/>
        <v>14</v>
      </c>
      <c r="F30" s="8">
        <f t="shared" si="0"/>
        <v>16</v>
      </c>
      <c r="G30" s="8">
        <f t="shared" si="0"/>
        <v>17</v>
      </c>
      <c r="H30" s="8">
        <f t="shared" si="0"/>
        <v>16</v>
      </c>
      <c r="I30" s="8">
        <f t="shared" si="0"/>
        <v>22</v>
      </c>
      <c r="J30" s="8">
        <f t="shared" si="0"/>
        <v>18</v>
      </c>
      <c r="K30" s="8">
        <f t="shared" si="0"/>
        <v>13</v>
      </c>
      <c r="L30" s="8">
        <f t="shared" si="0"/>
        <v>18</v>
      </c>
      <c r="M30" s="8">
        <f t="shared" si="0"/>
        <v>16</v>
      </c>
      <c r="N30" s="8">
        <f t="shared" si="0"/>
        <v>22</v>
      </c>
      <c r="O30" s="8">
        <f t="shared" si="0"/>
        <v>21</v>
      </c>
      <c r="P30" s="8">
        <f t="shared" si="0"/>
        <v>17</v>
      </c>
      <c r="Q30" s="8">
        <f t="shared" si="0"/>
        <v>18</v>
      </c>
      <c r="R30" s="8">
        <f t="shared" si="0"/>
        <v>17</v>
      </c>
      <c r="S30" s="8">
        <f t="shared" si="0"/>
        <v>17</v>
      </c>
      <c r="T30" s="8">
        <f t="shared" si="0"/>
        <v>22</v>
      </c>
      <c r="U30" s="8">
        <f t="shared" si="0"/>
        <v>15</v>
      </c>
      <c r="V30" s="8">
        <f t="shared" si="0"/>
        <v>17</v>
      </c>
      <c r="W30" s="8">
        <f t="shared" si="0"/>
        <v>14</v>
      </c>
      <c r="X30" s="8">
        <f t="shared" si="0"/>
        <v>20</v>
      </c>
      <c r="Y30" s="8">
        <f t="shared" si="0"/>
        <v>16</v>
      </c>
      <c r="Z30" s="8">
        <f t="shared" si="0"/>
        <v>18</v>
      </c>
      <c r="AA30" s="8">
        <f t="shared" si="0"/>
        <v>15</v>
      </c>
      <c r="AB30" s="8">
        <f t="shared" si="0"/>
        <v>18</v>
      </c>
      <c r="AC30" s="8">
        <f t="shared" si="0"/>
        <v>15</v>
      </c>
      <c r="AD30" s="8">
        <f t="shared" si="0"/>
        <v>24</v>
      </c>
      <c r="AE30" s="8">
        <f t="shared" si="0"/>
        <v>17</v>
      </c>
      <c r="AF30" s="8">
        <f t="shared" si="0"/>
        <v>18</v>
      </c>
      <c r="AG30" s="8">
        <f t="shared" si="0"/>
        <v>14</v>
      </c>
      <c r="AH30" s="8">
        <f t="shared" si="0"/>
        <v>18</v>
      </c>
      <c r="AI30" s="8">
        <f t="shared" si="0"/>
        <v>22</v>
      </c>
      <c r="AJ30" s="8">
        <f t="shared" si="0"/>
        <v>18</v>
      </c>
      <c r="AK30" s="8">
        <f t="shared" si="0"/>
        <v>20</v>
      </c>
      <c r="AL30" s="8">
        <f t="shared" si="0"/>
        <v>18</v>
      </c>
      <c r="AM30" s="8">
        <f t="shared" si="0"/>
        <v>13</v>
      </c>
      <c r="AN30" s="8">
        <f t="shared" si="0"/>
        <v>14</v>
      </c>
      <c r="AO30" s="8">
        <f t="shared" si="0"/>
        <v>15</v>
      </c>
      <c r="AP30" s="8">
        <f t="shared" si="0"/>
        <v>21</v>
      </c>
      <c r="AQ30" s="8">
        <f t="shared" si="0"/>
        <v>17</v>
      </c>
      <c r="AR30" s="8">
        <f t="shared" si="0"/>
        <v>19</v>
      </c>
      <c r="AS30" s="8">
        <f t="shared" si="0"/>
        <v>15</v>
      </c>
      <c r="AT30" s="8">
        <f t="shared" si="0"/>
        <v>23</v>
      </c>
      <c r="AU30" s="8">
        <f t="shared" si="0"/>
        <v>13</v>
      </c>
      <c r="AV30" s="8">
        <f t="shared" si="0"/>
        <v>23</v>
      </c>
      <c r="AW30" s="16">
        <f t="shared" si="0"/>
        <v>17</v>
      </c>
    </row>
    <row r="31" spans="1:49" ht="16" x14ac:dyDescent="0.15">
      <c r="A31" s="10" t="s">
        <v>79</v>
      </c>
      <c r="B31" s="11">
        <f>SUM(B2:B29)</f>
        <v>469</v>
      </c>
      <c r="C31" s="11">
        <f t="shared" ref="C31:AW31" si="1">SUM(C2:C29)</f>
        <v>181</v>
      </c>
      <c r="D31" s="11">
        <f t="shared" si="1"/>
        <v>604</v>
      </c>
      <c r="E31" s="11">
        <f t="shared" si="1"/>
        <v>341</v>
      </c>
      <c r="F31" s="11">
        <f t="shared" si="1"/>
        <v>365</v>
      </c>
      <c r="G31" s="11">
        <f t="shared" si="1"/>
        <v>455</v>
      </c>
      <c r="H31" s="11">
        <f t="shared" si="1"/>
        <v>365</v>
      </c>
      <c r="I31" s="11">
        <f t="shared" si="1"/>
        <v>632</v>
      </c>
      <c r="J31" s="11">
        <f t="shared" si="1"/>
        <v>382</v>
      </c>
      <c r="K31" s="11">
        <f t="shared" si="1"/>
        <v>222</v>
      </c>
      <c r="L31" s="11">
        <f t="shared" si="1"/>
        <v>353</v>
      </c>
      <c r="M31" s="11">
        <f t="shared" si="1"/>
        <v>309</v>
      </c>
      <c r="N31" s="11">
        <f t="shared" si="1"/>
        <v>508</v>
      </c>
      <c r="O31" s="11">
        <f t="shared" si="1"/>
        <v>477</v>
      </c>
      <c r="P31" s="11">
        <f t="shared" si="1"/>
        <v>439</v>
      </c>
      <c r="Q31" s="11">
        <f t="shared" si="1"/>
        <v>427</v>
      </c>
      <c r="R31" s="11">
        <f t="shared" si="1"/>
        <v>409</v>
      </c>
      <c r="S31" s="11">
        <f t="shared" si="1"/>
        <v>425</v>
      </c>
      <c r="T31" s="11">
        <f t="shared" si="1"/>
        <v>545</v>
      </c>
      <c r="U31" s="11">
        <f t="shared" si="1"/>
        <v>384</v>
      </c>
      <c r="V31" s="11">
        <f t="shared" si="1"/>
        <v>354</v>
      </c>
      <c r="W31" s="11">
        <f t="shared" si="1"/>
        <v>292</v>
      </c>
      <c r="X31" s="11">
        <f t="shared" si="1"/>
        <v>378</v>
      </c>
      <c r="Y31" s="11">
        <f t="shared" si="1"/>
        <v>323</v>
      </c>
      <c r="Z31" s="11">
        <f t="shared" si="1"/>
        <v>376</v>
      </c>
      <c r="AA31" s="11">
        <f t="shared" si="1"/>
        <v>301</v>
      </c>
      <c r="AB31" s="11">
        <f t="shared" si="1"/>
        <v>372</v>
      </c>
      <c r="AC31" s="11">
        <f t="shared" si="1"/>
        <v>308</v>
      </c>
      <c r="AD31" s="11">
        <f t="shared" si="1"/>
        <v>487</v>
      </c>
      <c r="AE31" s="11">
        <f t="shared" si="1"/>
        <v>342</v>
      </c>
      <c r="AF31" s="11">
        <f t="shared" si="1"/>
        <v>415</v>
      </c>
      <c r="AG31" s="11">
        <f t="shared" si="1"/>
        <v>307</v>
      </c>
      <c r="AH31" s="11">
        <f t="shared" si="1"/>
        <v>358</v>
      </c>
      <c r="AI31" s="11">
        <f t="shared" si="1"/>
        <v>486</v>
      </c>
      <c r="AJ31" s="11">
        <f t="shared" si="1"/>
        <v>339</v>
      </c>
      <c r="AK31" s="11">
        <f t="shared" si="1"/>
        <v>397</v>
      </c>
      <c r="AL31" s="11">
        <f t="shared" si="1"/>
        <v>355</v>
      </c>
      <c r="AM31" s="11">
        <f t="shared" si="1"/>
        <v>331</v>
      </c>
      <c r="AN31" s="11">
        <f t="shared" si="1"/>
        <v>278</v>
      </c>
      <c r="AO31" s="11">
        <f t="shared" si="1"/>
        <v>317</v>
      </c>
      <c r="AP31" s="11">
        <f t="shared" si="1"/>
        <v>358</v>
      </c>
      <c r="AQ31" s="11">
        <f t="shared" si="1"/>
        <v>366</v>
      </c>
      <c r="AR31" s="11">
        <f t="shared" si="1"/>
        <v>358</v>
      </c>
      <c r="AS31" s="11">
        <f t="shared" si="1"/>
        <v>277</v>
      </c>
      <c r="AT31" s="11">
        <f t="shared" si="1"/>
        <v>422</v>
      </c>
      <c r="AU31" s="11">
        <f t="shared" si="1"/>
        <v>273</v>
      </c>
      <c r="AV31" s="11">
        <f t="shared" si="1"/>
        <v>422</v>
      </c>
      <c r="AW31" s="17">
        <f t="shared" si="1"/>
        <v>375</v>
      </c>
    </row>
    <row r="32" spans="1:49" ht="35" customHeight="1" thickBot="1" x14ac:dyDescent="0.2">
      <c r="A32" s="12" t="s">
        <v>80</v>
      </c>
      <c r="B32" s="13">
        <f>ROUND(B31/B30, 2)</f>
        <v>22.33</v>
      </c>
      <c r="C32" s="13">
        <f t="shared" ref="C32:AW32" si="2">ROUND(C31/C30, 2)</f>
        <v>20.11</v>
      </c>
      <c r="D32" s="13">
        <f t="shared" si="2"/>
        <v>26.26</v>
      </c>
      <c r="E32" s="13">
        <f t="shared" si="2"/>
        <v>24.36</v>
      </c>
      <c r="F32" s="13">
        <f t="shared" si="2"/>
        <v>22.81</v>
      </c>
      <c r="G32" s="13">
        <f t="shared" si="2"/>
        <v>26.76</v>
      </c>
      <c r="H32" s="13">
        <f t="shared" si="2"/>
        <v>22.81</v>
      </c>
      <c r="I32" s="13">
        <f t="shared" si="2"/>
        <v>28.73</v>
      </c>
      <c r="J32" s="13">
        <f t="shared" si="2"/>
        <v>21.22</v>
      </c>
      <c r="K32" s="13">
        <f t="shared" si="2"/>
        <v>17.079999999999998</v>
      </c>
      <c r="L32" s="13">
        <f t="shared" si="2"/>
        <v>19.61</v>
      </c>
      <c r="M32" s="13">
        <f t="shared" si="2"/>
        <v>19.309999999999999</v>
      </c>
      <c r="N32" s="13">
        <f t="shared" si="2"/>
        <v>23.09</v>
      </c>
      <c r="O32" s="13">
        <f t="shared" si="2"/>
        <v>22.71</v>
      </c>
      <c r="P32" s="13">
        <f t="shared" si="2"/>
        <v>25.82</v>
      </c>
      <c r="Q32" s="13">
        <f t="shared" si="2"/>
        <v>23.72</v>
      </c>
      <c r="R32" s="13">
        <f t="shared" si="2"/>
        <v>24.06</v>
      </c>
      <c r="S32" s="13">
        <f t="shared" si="2"/>
        <v>25</v>
      </c>
      <c r="T32" s="13">
        <f t="shared" si="2"/>
        <v>24.77</v>
      </c>
      <c r="U32" s="13">
        <f t="shared" si="2"/>
        <v>25.6</v>
      </c>
      <c r="V32" s="13">
        <f t="shared" si="2"/>
        <v>20.82</v>
      </c>
      <c r="W32" s="13">
        <f t="shared" si="2"/>
        <v>20.86</v>
      </c>
      <c r="X32" s="13">
        <f t="shared" si="2"/>
        <v>18.899999999999999</v>
      </c>
      <c r="Y32" s="13">
        <f t="shared" si="2"/>
        <v>20.190000000000001</v>
      </c>
      <c r="Z32" s="13">
        <f t="shared" si="2"/>
        <v>20.89</v>
      </c>
      <c r="AA32" s="13">
        <f t="shared" si="2"/>
        <v>20.07</v>
      </c>
      <c r="AB32" s="13">
        <f t="shared" si="2"/>
        <v>20.67</v>
      </c>
      <c r="AC32" s="13">
        <f t="shared" si="2"/>
        <v>20.53</v>
      </c>
      <c r="AD32" s="13">
        <f t="shared" si="2"/>
        <v>20.29</v>
      </c>
      <c r="AE32" s="13">
        <f t="shared" si="2"/>
        <v>20.12</v>
      </c>
      <c r="AF32" s="13">
        <f t="shared" si="2"/>
        <v>23.06</v>
      </c>
      <c r="AG32" s="13">
        <f t="shared" si="2"/>
        <v>21.93</v>
      </c>
      <c r="AH32" s="13">
        <f t="shared" si="2"/>
        <v>19.89</v>
      </c>
      <c r="AI32" s="13">
        <f t="shared" si="2"/>
        <v>22.09</v>
      </c>
      <c r="AJ32" s="13">
        <f t="shared" si="2"/>
        <v>18.829999999999998</v>
      </c>
      <c r="AK32" s="13">
        <f t="shared" si="2"/>
        <v>19.850000000000001</v>
      </c>
      <c r="AL32" s="13">
        <f t="shared" si="2"/>
        <v>19.72</v>
      </c>
      <c r="AM32" s="13">
        <f t="shared" si="2"/>
        <v>25.46</v>
      </c>
      <c r="AN32" s="13">
        <f t="shared" si="2"/>
        <v>19.86</v>
      </c>
      <c r="AO32" s="13">
        <f t="shared" si="2"/>
        <v>21.13</v>
      </c>
      <c r="AP32" s="13">
        <f t="shared" si="2"/>
        <v>17.05</v>
      </c>
      <c r="AQ32" s="13">
        <f t="shared" si="2"/>
        <v>21.53</v>
      </c>
      <c r="AR32" s="13">
        <f t="shared" si="2"/>
        <v>18.84</v>
      </c>
      <c r="AS32" s="13">
        <f t="shared" si="2"/>
        <v>18.47</v>
      </c>
      <c r="AT32" s="13">
        <f t="shared" si="2"/>
        <v>18.350000000000001</v>
      </c>
      <c r="AU32" s="13">
        <f t="shared" si="2"/>
        <v>21</v>
      </c>
      <c r="AV32" s="13">
        <f t="shared" si="2"/>
        <v>18.350000000000001</v>
      </c>
      <c r="AW32" s="18">
        <f t="shared" si="2"/>
        <v>22.06</v>
      </c>
    </row>
    <row r="33" spans="1:49" ht="35" thickBot="1" x14ac:dyDescent="0.2">
      <c r="A33" s="14" t="s">
        <v>81</v>
      </c>
      <c r="B33" s="15">
        <f>ROUND((SUM(B32:AW32) / COUNT(B32:AW32)), 2)</f>
        <v>21.6</v>
      </c>
    </row>
    <row r="34" spans="1:49" ht="17" thickBot="1" x14ac:dyDescent="0.2">
      <c r="A34" s="5"/>
    </row>
    <row r="35" spans="1:49" ht="17" thickBot="1" x14ac:dyDescent="0.2">
      <c r="A35" s="33" t="s">
        <v>83</v>
      </c>
      <c r="B35" s="35">
        <f>COUNTIF(B2:B29, "X")</f>
        <v>1</v>
      </c>
      <c r="C35" s="35">
        <f t="shared" ref="C35:AW35" si="3">COUNTIF(C2:C29, "X")</f>
        <v>5</v>
      </c>
      <c r="D35" s="35">
        <f t="shared" si="3"/>
        <v>3</v>
      </c>
      <c r="E35" s="35">
        <f t="shared" si="3"/>
        <v>0</v>
      </c>
      <c r="F35" s="35">
        <f t="shared" si="3"/>
        <v>0</v>
      </c>
      <c r="G35" s="35">
        <f t="shared" si="3"/>
        <v>2</v>
      </c>
      <c r="H35" s="35">
        <f t="shared" si="3"/>
        <v>0</v>
      </c>
      <c r="I35" s="35">
        <f t="shared" si="3"/>
        <v>0</v>
      </c>
      <c r="J35" s="35">
        <f t="shared" si="3"/>
        <v>1</v>
      </c>
      <c r="K35" s="35">
        <f t="shared" si="3"/>
        <v>2</v>
      </c>
      <c r="L35" s="35">
        <f t="shared" si="3"/>
        <v>0</v>
      </c>
      <c r="M35" s="35">
        <f t="shared" si="3"/>
        <v>0</v>
      </c>
      <c r="N35" s="35">
        <f t="shared" si="3"/>
        <v>0</v>
      </c>
      <c r="O35" s="35">
        <f t="shared" si="3"/>
        <v>0</v>
      </c>
      <c r="P35" s="35">
        <f t="shared" si="3"/>
        <v>4</v>
      </c>
      <c r="Q35" s="35">
        <f t="shared" si="3"/>
        <v>4</v>
      </c>
      <c r="R35" s="35">
        <f t="shared" si="3"/>
        <v>4</v>
      </c>
      <c r="S35" s="35">
        <f t="shared" si="3"/>
        <v>2</v>
      </c>
      <c r="T35" s="35">
        <f t="shared" si="3"/>
        <v>0</v>
      </c>
      <c r="U35" s="35">
        <f t="shared" si="3"/>
        <v>2</v>
      </c>
      <c r="V35" s="35">
        <f t="shared" si="3"/>
        <v>1</v>
      </c>
      <c r="W35" s="35">
        <f t="shared" si="3"/>
        <v>0</v>
      </c>
      <c r="X35" s="35">
        <f t="shared" si="3"/>
        <v>2</v>
      </c>
      <c r="Y35" s="35">
        <f t="shared" si="3"/>
        <v>0</v>
      </c>
      <c r="Z35" s="35">
        <f t="shared" si="3"/>
        <v>1</v>
      </c>
      <c r="AA35" s="35">
        <f t="shared" si="3"/>
        <v>0</v>
      </c>
      <c r="AB35" s="35">
        <f t="shared" si="3"/>
        <v>0</v>
      </c>
      <c r="AC35" s="35">
        <f t="shared" si="3"/>
        <v>0</v>
      </c>
      <c r="AD35" s="35">
        <f t="shared" si="3"/>
        <v>1</v>
      </c>
      <c r="AE35" s="35">
        <f t="shared" si="3"/>
        <v>2</v>
      </c>
      <c r="AF35" s="35">
        <f t="shared" si="3"/>
        <v>1</v>
      </c>
      <c r="AG35" s="35">
        <f t="shared" si="3"/>
        <v>3</v>
      </c>
      <c r="AH35" s="35">
        <f t="shared" si="3"/>
        <v>1</v>
      </c>
      <c r="AI35" s="35">
        <f t="shared" si="3"/>
        <v>0</v>
      </c>
      <c r="AJ35" s="35">
        <f t="shared" si="3"/>
        <v>0</v>
      </c>
      <c r="AK35" s="35">
        <f t="shared" si="3"/>
        <v>1</v>
      </c>
      <c r="AL35" s="35">
        <f t="shared" si="3"/>
        <v>0</v>
      </c>
      <c r="AM35" s="35">
        <f t="shared" si="3"/>
        <v>3</v>
      </c>
      <c r="AN35" s="35">
        <f t="shared" si="3"/>
        <v>1</v>
      </c>
      <c r="AO35" s="35">
        <f t="shared" si="3"/>
        <v>1</v>
      </c>
      <c r="AP35" s="35">
        <f t="shared" si="3"/>
        <v>0</v>
      </c>
      <c r="AQ35" s="35">
        <f t="shared" si="3"/>
        <v>1</v>
      </c>
      <c r="AR35" s="35">
        <f t="shared" si="3"/>
        <v>0</v>
      </c>
      <c r="AS35" s="35">
        <f t="shared" si="3"/>
        <v>6</v>
      </c>
      <c r="AT35" s="35">
        <f t="shared" si="3"/>
        <v>0</v>
      </c>
      <c r="AU35" s="35">
        <f t="shared" si="3"/>
        <v>3</v>
      </c>
      <c r="AV35" s="35">
        <f t="shared" si="3"/>
        <v>1</v>
      </c>
      <c r="AW35" s="36">
        <f t="shared" si="3"/>
        <v>0</v>
      </c>
    </row>
    <row r="36" spans="1:49" ht="17" thickBot="1" x14ac:dyDescent="0.2">
      <c r="A36" s="34" t="s">
        <v>82</v>
      </c>
      <c r="B36" s="32">
        <f>SUM(B35:AW35)</f>
        <v>59</v>
      </c>
    </row>
    <row r="37" spans="1:49" ht="16" x14ac:dyDescent="0.15"/>
    <row r="38" spans="1:49" ht="16" x14ac:dyDescent="0.15"/>
    <row r="39" spans="1:49" ht="16" x14ac:dyDescent="0.15"/>
    <row r="40" spans="1:49" ht="16" x14ac:dyDescent="0.15"/>
    <row r="41" spans="1:49" ht="16" x14ac:dyDescent="0.15"/>
    <row r="42" spans="1:49" ht="16" x14ac:dyDescent="0.15"/>
    <row r="43" spans="1:49" ht="16" x14ac:dyDescent="0.15"/>
    <row r="44" spans="1:49" ht="16" x14ac:dyDescent="0.15"/>
    <row r="45" spans="1:49" ht="16" x14ac:dyDescent="0.15"/>
    <row r="46" spans="1:49" ht="16" x14ac:dyDescent="0.15"/>
    <row r="47" spans="1:49" ht="16" x14ac:dyDescent="0.15"/>
    <row r="48" spans="1:49" ht="16" x14ac:dyDescent="0.15"/>
    <row r="49" s="4" customFormat="1" ht="16" x14ac:dyDescent="0.15"/>
    <row r="50" s="4" customFormat="1" ht="16" x14ac:dyDescent="0.15"/>
    <row r="51" s="4" customFormat="1" ht="16" x14ac:dyDescent="0.15"/>
    <row r="52" s="4" customFormat="1" ht="16" x14ac:dyDescent="0.15"/>
    <row r="53" s="4" customFormat="1" ht="16" x14ac:dyDescent="0.15"/>
    <row r="54" s="4" customFormat="1" ht="16" x14ac:dyDescent="0.15"/>
    <row r="55" s="4" customFormat="1" ht="16" x14ac:dyDescent="0.15"/>
    <row r="56" s="4" customFormat="1" ht="16" x14ac:dyDescent="0.15"/>
    <row r="57" s="4" customFormat="1" ht="16" x14ac:dyDescent="0.15"/>
    <row r="58" s="4" customFormat="1" ht="16" x14ac:dyDescent="0.15"/>
    <row r="59" s="4" customFormat="1" ht="16" x14ac:dyDescent="0.15"/>
    <row r="60" s="4" customFormat="1" ht="16" x14ac:dyDescent="0.15"/>
    <row r="62" s="4" customFormat="1" ht="16" x14ac:dyDescent="0.15"/>
    <row r="63" s="4" customFormat="1" ht="16" x14ac:dyDescent="0.15"/>
    <row r="64" s="4" customFormat="1" ht="16" x14ac:dyDescent="0.15"/>
    <row r="65" s="4" customFormat="1" ht="16" x14ac:dyDescent="0.15"/>
    <row r="66" s="4" customFormat="1" ht="16" x14ac:dyDescent="0.15"/>
    <row r="67" s="4" customFormat="1" ht="16" x14ac:dyDescent="0.15"/>
    <row r="68" s="4" customFormat="1" ht="16" x14ac:dyDescent="0.15"/>
    <row r="69" s="4" customFormat="1" ht="16" x14ac:dyDescent="0.15"/>
    <row r="70" s="4" customFormat="1" ht="16" x14ac:dyDescent="0.15"/>
    <row r="71" s="4" customFormat="1" ht="16" x14ac:dyDescent="0.15"/>
    <row r="72" s="4" customFormat="1" ht="16" x14ac:dyDescent="0.15"/>
    <row r="73" s="4" customFormat="1" ht="16" x14ac:dyDescent="0.15"/>
    <row r="74" s="4" customFormat="1" ht="16" x14ac:dyDescent="0.15"/>
    <row r="75" s="4" customFormat="1" ht="16" x14ac:dyDescent="0.15"/>
    <row r="76" s="4" customFormat="1" ht="16" x14ac:dyDescent="0.15"/>
    <row r="77" s="4" customFormat="1" ht="16" x14ac:dyDescent="0.15"/>
    <row r="78" s="4" customFormat="1" ht="16" x14ac:dyDescent="0.15"/>
    <row r="79" s="4" customFormat="1" ht="16" x14ac:dyDescent="0.15"/>
    <row r="80" s="4" customFormat="1" ht="16" x14ac:dyDescent="0.15"/>
    <row r="81" s="4" customFormat="1" ht="16" x14ac:dyDescent="0.15"/>
    <row r="82" s="4" customFormat="1" ht="16" x14ac:dyDescent="0.15"/>
    <row r="83" s="4" customFormat="1" ht="16" x14ac:dyDescent="0.15"/>
    <row r="84" s="4" customFormat="1" ht="16" x14ac:dyDescent="0.15"/>
    <row r="85" s="4" customFormat="1" ht="16" x14ac:dyDescent="0.15"/>
    <row r="86" s="4" customFormat="1" ht="16" x14ac:dyDescent="0.15"/>
    <row r="87" s="4" customFormat="1" ht="16" x14ac:dyDescent="0.15"/>
    <row r="88" s="4" customFormat="1" ht="16" x14ac:dyDescent="0.15"/>
    <row r="89" s="4" customFormat="1" ht="16" x14ac:dyDescent="0.15"/>
    <row r="90" s="4" customFormat="1" ht="16" x14ac:dyDescent="0.15"/>
    <row r="91" s="4" customFormat="1" ht="16" x14ac:dyDescent="0.15"/>
    <row r="93" s="4" customFormat="1" ht="16" x14ac:dyDescent="0.15"/>
    <row r="94" s="4" customFormat="1" ht="16" x14ac:dyDescent="0.15"/>
    <row r="95" s="4" customFormat="1" ht="16" x14ac:dyDescent="0.15"/>
    <row r="96" s="4" customFormat="1" ht="16" x14ac:dyDescent="0.15"/>
    <row r="97" s="4" customFormat="1" ht="16" x14ac:dyDescent="0.15"/>
    <row r="98" s="4" customFormat="1" ht="16" x14ac:dyDescent="0.15"/>
    <row r="99" s="4" customFormat="1" ht="16" x14ac:dyDescent="0.15"/>
    <row r="100" s="4" customFormat="1" ht="16" x14ac:dyDescent="0.15"/>
    <row r="101" s="4" customFormat="1" ht="16" x14ac:dyDescent="0.15"/>
    <row r="102" s="4" customFormat="1" ht="16" x14ac:dyDescent="0.15"/>
    <row r="103" s="4" customFormat="1" ht="16" x14ac:dyDescent="0.15"/>
    <row r="104" s="4" customFormat="1" ht="16" x14ac:dyDescent="0.15"/>
    <row r="105" s="4" customFormat="1" ht="16" x14ac:dyDescent="0.15"/>
    <row r="106" s="4" customFormat="1" ht="16" x14ac:dyDescent="0.15"/>
    <row r="107" s="4" customFormat="1" ht="16" x14ac:dyDescent="0.15"/>
    <row r="108" s="4" customFormat="1" ht="16" x14ac:dyDescent="0.15"/>
    <row r="109" s="4" customFormat="1" ht="16" x14ac:dyDescent="0.15"/>
    <row r="110" s="4" customFormat="1" ht="16" x14ac:dyDescent="0.15"/>
    <row r="111" s="4" customFormat="1" ht="16" x14ac:dyDescent="0.15"/>
    <row r="112" s="4" customFormat="1" ht="16" x14ac:dyDescent="0.15"/>
    <row r="113" s="4" customFormat="1" ht="16" x14ac:dyDescent="0.15"/>
    <row r="114" s="4" customFormat="1" ht="16" x14ac:dyDescent="0.15"/>
    <row r="115" s="4" customFormat="1" ht="16" x14ac:dyDescent="0.15"/>
    <row r="116" s="4" customFormat="1" ht="16" x14ac:dyDescent="0.15"/>
    <row r="117" s="4" customFormat="1" ht="16" x14ac:dyDescent="0.15"/>
    <row r="118" s="4" customFormat="1" ht="16" x14ac:dyDescent="0.15"/>
    <row r="119" s="4" customFormat="1" ht="16" x14ac:dyDescent="0.15"/>
    <row r="120" s="4" customFormat="1" ht="16" x14ac:dyDescent="0.15"/>
    <row r="121" s="4" customFormat="1" ht="16" x14ac:dyDescent="0.15"/>
    <row r="122" s="4" customFormat="1" ht="16" x14ac:dyDescent="0.1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0547-BCE6-4F9B-BA81-78AC6D429C52}">
  <dimension ref="A1:AY39"/>
  <sheetViews>
    <sheetView tabSelected="1" topLeftCell="A14" workbookViewId="0">
      <selection activeCell="D39" sqref="D39"/>
    </sheetView>
  </sheetViews>
  <sheetFormatPr baseColWidth="10" defaultColWidth="8.83203125" defaultRowHeight="13" x14ac:dyDescent="0.15"/>
  <cols>
    <col min="1" max="1" width="20.83203125" style="2" customWidth="1"/>
    <col min="2" max="49" width="12.5" style="2" customWidth="1"/>
    <col min="50" max="16384" width="8.83203125" style="2"/>
  </cols>
  <sheetData>
    <row r="1" spans="1:51" ht="16" x14ac:dyDescent="0.15">
      <c r="A1" s="37" t="s">
        <v>77</v>
      </c>
      <c r="B1" s="38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39" t="s">
        <v>14</v>
      </c>
      <c r="Q1" s="39" t="s">
        <v>15</v>
      </c>
      <c r="R1" s="39" t="s">
        <v>16</v>
      </c>
      <c r="S1" s="39" t="s">
        <v>17</v>
      </c>
      <c r="T1" s="39" t="s">
        <v>18</v>
      </c>
      <c r="U1" s="39" t="s">
        <v>19</v>
      </c>
      <c r="V1" s="39" t="s">
        <v>20</v>
      </c>
      <c r="W1" s="39" t="s">
        <v>21</v>
      </c>
      <c r="X1" s="39" t="s">
        <v>22</v>
      </c>
      <c r="Y1" s="39" t="s">
        <v>23</v>
      </c>
      <c r="Z1" s="39" t="s">
        <v>24</v>
      </c>
      <c r="AA1" s="39" t="s">
        <v>25</v>
      </c>
      <c r="AB1" s="39" t="s">
        <v>26</v>
      </c>
      <c r="AC1" s="39" t="s">
        <v>27</v>
      </c>
      <c r="AD1" s="39" t="s">
        <v>28</v>
      </c>
      <c r="AE1" s="39" t="s">
        <v>29</v>
      </c>
      <c r="AF1" s="39" t="s">
        <v>30</v>
      </c>
      <c r="AG1" s="39" t="s">
        <v>31</v>
      </c>
      <c r="AH1" s="39" t="s">
        <v>32</v>
      </c>
      <c r="AI1" s="39" t="s">
        <v>33</v>
      </c>
      <c r="AJ1" s="39" t="s">
        <v>34</v>
      </c>
      <c r="AK1" s="39" t="s">
        <v>35</v>
      </c>
      <c r="AL1" s="39" t="s">
        <v>36</v>
      </c>
      <c r="AM1" s="39" t="s">
        <v>37</v>
      </c>
      <c r="AN1" s="39" t="s">
        <v>38</v>
      </c>
      <c r="AO1" s="39" t="s">
        <v>39</v>
      </c>
      <c r="AP1" s="39" t="s">
        <v>40</v>
      </c>
      <c r="AQ1" s="39" t="s">
        <v>41</v>
      </c>
      <c r="AR1" s="39" t="s">
        <v>42</v>
      </c>
      <c r="AS1" s="39" t="s">
        <v>43</v>
      </c>
      <c r="AT1" s="39" t="s">
        <v>44</v>
      </c>
      <c r="AU1" s="40" t="s">
        <v>45</v>
      </c>
      <c r="AV1" s="30"/>
      <c r="AW1" s="30"/>
      <c r="AX1" s="6"/>
      <c r="AY1" s="6"/>
    </row>
    <row r="2" spans="1:51" ht="16" x14ac:dyDescent="0.15">
      <c r="A2" s="41" t="s">
        <v>48</v>
      </c>
      <c r="B2" s="42">
        <v>30</v>
      </c>
      <c r="C2" s="43">
        <v>25</v>
      </c>
      <c r="D2" s="43">
        <v>27</v>
      </c>
      <c r="E2" s="43">
        <v>31</v>
      </c>
      <c r="F2" s="43">
        <v>20</v>
      </c>
      <c r="G2" s="43">
        <v>26</v>
      </c>
      <c r="H2" s="43">
        <v>20</v>
      </c>
      <c r="I2" s="44">
        <v>25</v>
      </c>
      <c r="J2" s="43">
        <v>14</v>
      </c>
      <c r="K2" s="43">
        <v>19</v>
      </c>
      <c r="L2" s="43">
        <v>17</v>
      </c>
      <c r="M2" s="43">
        <v>21</v>
      </c>
      <c r="N2" s="43">
        <v>23</v>
      </c>
      <c r="O2" s="43">
        <v>25</v>
      </c>
      <c r="P2" s="43">
        <v>25</v>
      </c>
      <c r="Q2" s="43">
        <v>20</v>
      </c>
      <c r="R2" s="43">
        <v>18</v>
      </c>
      <c r="S2" s="43">
        <v>24</v>
      </c>
      <c r="T2" s="43">
        <v>26</v>
      </c>
      <c r="U2" s="43">
        <v>23</v>
      </c>
      <c r="V2" s="43">
        <v>12</v>
      </c>
      <c r="W2" s="43">
        <v>24</v>
      </c>
      <c r="X2" s="43">
        <v>20</v>
      </c>
      <c r="Y2" s="43">
        <v>21</v>
      </c>
      <c r="Z2" s="43">
        <v>18</v>
      </c>
      <c r="AA2" s="43">
        <v>22</v>
      </c>
      <c r="AB2" s="43">
        <v>18</v>
      </c>
      <c r="AC2" s="43">
        <v>23</v>
      </c>
      <c r="AD2" s="43">
        <v>25</v>
      </c>
      <c r="AE2" s="43">
        <v>24</v>
      </c>
      <c r="AF2" s="43">
        <v>20</v>
      </c>
      <c r="AG2" s="43">
        <v>9</v>
      </c>
      <c r="AH2" s="43">
        <v>15</v>
      </c>
      <c r="AI2" s="43">
        <v>17</v>
      </c>
      <c r="AJ2" s="43">
        <v>19</v>
      </c>
      <c r="AK2" s="43">
        <v>19</v>
      </c>
      <c r="AL2" s="43">
        <v>21</v>
      </c>
      <c r="AM2" s="43">
        <v>20</v>
      </c>
      <c r="AN2" s="43">
        <v>17</v>
      </c>
      <c r="AO2" s="43">
        <v>17</v>
      </c>
      <c r="AP2" s="43">
        <v>26</v>
      </c>
      <c r="AQ2" s="43">
        <v>22</v>
      </c>
      <c r="AR2" s="43">
        <v>13</v>
      </c>
      <c r="AS2" s="43">
        <v>20</v>
      </c>
      <c r="AT2" s="43">
        <v>13</v>
      </c>
      <c r="AU2" s="45" t="s">
        <v>49</v>
      </c>
      <c r="AV2" s="28"/>
      <c r="AW2" s="28"/>
    </row>
    <row r="3" spans="1:51" ht="16" x14ac:dyDescent="0.15">
      <c r="A3" s="41" t="s">
        <v>50</v>
      </c>
      <c r="B3" s="42">
        <v>29</v>
      </c>
      <c r="C3" s="43">
        <v>26</v>
      </c>
      <c r="D3" s="43">
        <v>27</v>
      </c>
      <c r="E3" s="43">
        <v>21</v>
      </c>
      <c r="F3" s="43">
        <v>20</v>
      </c>
      <c r="G3" s="43">
        <v>22</v>
      </c>
      <c r="H3" s="43">
        <v>15</v>
      </c>
      <c r="I3" s="46" t="s">
        <v>49</v>
      </c>
      <c r="J3" s="43">
        <v>18</v>
      </c>
      <c r="K3" s="43">
        <v>25</v>
      </c>
      <c r="L3" s="43">
        <v>23</v>
      </c>
      <c r="M3" s="43">
        <v>19</v>
      </c>
      <c r="N3" s="43">
        <v>21</v>
      </c>
      <c r="O3" s="43">
        <v>20</v>
      </c>
      <c r="P3" s="43">
        <v>30</v>
      </c>
      <c r="Q3" s="43">
        <v>25</v>
      </c>
      <c r="R3" s="43">
        <v>23</v>
      </c>
      <c r="S3" s="43">
        <v>25</v>
      </c>
      <c r="T3" s="43">
        <v>25</v>
      </c>
      <c r="U3" s="43">
        <v>19</v>
      </c>
      <c r="V3" s="43">
        <v>18</v>
      </c>
      <c r="W3" s="43">
        <v>13</v>
      </c>
      <c r="X3" s="43">
        <v>19</v>
      </c>
      <c r="Y3" s="43">
        <v>15</v>
      </c>
      <c r="Z3" s="43">
        <v>18</v>
      </c>
      <c r="AA3" s="43">
        <v>26</v>
      </c>
      <c r="AB3" s="43">
        <v>19</v>
      </c>
      <c r="AC3" s="43">
        <v>26</v>
      </c>
      <c r="AD3" s="43">
        <v>27</v>
      </c>
      <c r="AE3" s="43">
        <v>21</v>
      </c>
      <c r="AF3" s="43">
        <v>23</v>
      </c>
      <c r="AG3" s="43">
        <v>24</v>
      </c>
      <c r="AH3" s="43">
        <v>20</v>
      </c>
      <c r="AI3" s="43">
        <v>19</v>
      </c>
      <c r="AJ3" s="43">
        <v>23</v>
      </c>
      <c r="AK3" s="43">
        <v>18</v>
      </c>
      <c r="AL3" s="43">
        <v>19</v>
      </c>
      <c r="AM3" s="43">
        <v>19</v>
      </c>
      <c r="AN3" s="43">
        <v>21</v>
      </c>
      <c r="AO3" s="43">
        <v>16</v>
      </c>
      <c r="AP3" s="43">
        <v>22</v>
      </c>
      <c r="AQ3" s="43">
        <v>21</v>
      </c>
      <c r="AR3" s="43">
        <v>25</v>
      </c>
      <c r="AS3" s="43">
        <v>22</v>
      </c>
      <c r="AT3" s="43">
        <v>10</v>
      </c>
      <c r="AU3" s="45" t="s">
        <v>49</v>
      </c>
      <c r="AV3" s="28"/>
      <c r="AW3" s="28"/>
    </row>
    <row r="4" spans="1:51" ht="16" x14ac:dyDescent="0.15">
      <c r="A4" s="41" t="s">
        <v>51</v>
      </c>
      <c r="B4" s="42">
        <v>18</v>
      </c>
      <c r="C4" s="43">
        <v>18</v>
      </c>
      <c r="D4" s="43">
        <v>30</v>
      </c>
      <c r="E4" s="43">
        <v>24</v>
      </c>
      <c r="F4" s="43">
        <v>14</v>
      </c>
      <c r="G4" s="43">
        <v>25</v>
      </c>
      <c r="H4" s="43">
        <v>19</v>
      </c>
      <c r="I4" s="44">
        <v>20</v>
      </c>
      <c r="J4" s="43">
        <v>16</v>
      </c>
      <c r="K4" s="43">
        <v>17</v>
      </c>
      <c r="L4" s="43">
        <v>18</v>
      </c>
      <c r="M4" s="43">
        <v>19</v>
      </c>
      <c r="N4" s="43">
        <v>27</v>
      </c>
      <c r="O4" s="43">
        <v>21</v>
      </c>
      <c r="P4" s="43">
        <v>18</v>
      </c>
      <c r="Q4" s="43">
        <v>19</v>
      </c>
      <c r="R4" s="43">
        <v>18</v>
      </c>
      <c r="S4" s="43">
        <v>26</v>
      </c>
      <c r="T4" s="43">
        <v>25</v>
      </c>
      <c r="U4" s="43">
        <v>26</v>
      </c>
      <c r="V4" s="43">
        <v>15</v>
      </c>
      <c r="W4" s="43">
        <v>26</v>
      </c>
      <c r="X4" s="43">
        <v>17</v>
      </c>
      <c r="Y4" s="43">
        <v>15</v>
      </c>
      <c r="Z4" s="43">
        <v>13</v>
      </c>
      <c r="AA4" s="47" t="s">
        <v>49</v>
      </c>
      <c r="AB4" s="43">
        <v>12</v>
      </c>
      <c r="AC4" s="47" t="s">
        <v>49</v>
      </c>
      <c r="AD4" s="43">
        <v>23</v>
      </c>
      <c r="AE4" s="43">
        <v>22</v>
      </c>
      <c r="AF4" s="43">
        <v>25</v>
      </c>
      <c r="AG4" s="43">
        <v>19</v>
      </c>
      <c r="AH4" s="43">
        <v>19</v>
      </c>
      <c r="AI4" s="43">
        <v>26</v>
      </c>
      <c r="AJ4" s="43">
        <v>17</v>
      </c>
      <c r="AK4" s="47" t="s">
        <v>49</v>
      </c>
      <c r="AL4" s="43">
        <v>21</v>
      </c>
      <c r="AM4" s="43">
        <v>25</v>
      </c>
      <c r="AN4" s="43">
        <v>22</v>
      </c>
      <c r="AO4" s="43">
        <v>23</v>
      </c>
      <c r="AP4" s="43">
        <v>18</v>
      </c>
      <c r="AQ4" s="43">
        <v>22</v>
      </c>
      <c r="AR4" s="43">
        <v>16</v>
      </c>
      <c r="AS4" s="43">
        <v>14</v>
      </c>
      <c r="AT4" s="43">
        <v>11</v>
      </c>
      <c r="AU4" s="45" t="s">
        <v>49</v>
      </c>
      <c r="AV4" s="28"/>
      <c r="AW4" s="28"/>
    </row>
    <row r="5" spans="1:51" ht="16" x14ac:dyDescent="0.15">
      <c r="A5" s="41" t="s">
        <v>52</v>
      </c>
      <c r="B5" s="42">
        <v>23</v>
      </c>
      <c r="C5" s="43">
        <v>19</v>
      </c>
      <c r="D5" s="43">
        <v>27</v>
      </c>
      <c r="E5" s="43">
        <v>17</v>
      </c>
      <c r="F5" s="43">
        <v>21</v>
      </c>
      <c r="G5" s="43">
        <v>24</v>
      </c>
      <c r="H5" s="43">
        <v>16</v>
      </c>
      <c r="I5" s="44">
        <v>21</v>
      </c>
      <c r="J5" s="43">
        <v>18</v>
      </c>
      <c r="K5" s="43">
        <v>18</v>
      </c>
      <c r="L5" s="43">
        <v>18</v>
      </c>
      <c r="M5" s="43">
        <v>20</v>
      </c>
      <c r="N5" s="43">
        <v>24</v>
      </c>
      <c r="O5" s="43">
        <v>24</v>
      </c>
      <c r="P5" s="47" t="s">
        <v>49</v>
      </c>
      <c r="Q5" s="43">
        <v>23</v>
      </c>
      <c r="R5" s="43">
        <v>24</v>
      </c>
      <c r="S5" s="43">
        <v>21</v>
      </c>
      <c r="T5" s="43">
        <v>22</v>
      </c>
      <c r="U5" s="43">
        <v>24</v>
      </c>
      <c r="V5" s="43">
        <v>19</v>
      </c>
      <c r="W5" s="43">
        <v>21</v>
      </c>
      <c r="X5" s="43">
        <v>16</v>
      </c>
      <c r="Y5" s="43">
        <v>20</v>
      </c>
      <c r="Z5" s="43">
        <v>23</v>
      </c>
      <c r="AA5" s="43">
        <v>25</v>
      </c>
      <c r="AB5" s="43">
        <v>23</v>
      </c>
      <c r="AC5" s="43">
        <v>23</v>
      </c>
      <c r="AD5" s="43">
        <v>28</v>
      </c>
      <c r="AE5" s="43">
        <v>23</v>
      </c>
      <c r="AF5" s="43">
        <v>25</v>
      </c>
      <c r="AG5" s="43">
        <v>16</v>
      </c>
      <c r="AH5" s="43">
        <v>17</v>
      </c>
      <c r="AI5" s="43">
        <v>20</v>
      </c>
      <c r="AJ5" s="43">
        <v>21</v>
      </c>
      <c r="AK5" s="43">
        <v>17</v>
      </c>
      <c r="AL5" s="43">
        <v>22</v>
      </c>
      <c r="AM5" s="43">
        <v>19</v>
      </c>
      <c r="AN5" s="43">
        <v>15</v>
      </c>
      <c r="AO5" s="43">
        <v>23</v>
      </c>
      <c r="AP5" s="43">
        <v>22</v>
      </c>
      <c r="AQ5" s="43">
        <v>23</v>
      </c>
      <c r="AR5" s="43">
        <v>25</v>
      </c>
      <c r="AS5" s="43">
        <v>18</v>
      </c>
      <c r="AT5" s="43">
        <v>12</v>
      </c>
      <c r="AU5" s="48">
        <v>13</v>
      </c>
      <c r="AV5" s="28"/>
      <c r="AW5" s="28"/>
    </row>
    <row r="6" spans="1:51" ht="16" x14ac:dyDescent="0.15">
      <c r="A6" s="41" t="s">
        <v>53</v>
      </c>
      <c r="B6" s="42">
        <v>21</v>
      </c>
      <c r="C6" s="43">
        <v>40</v>
      </c>
      <c r="D6" s="43">
        <v>26</v>
      </c>
      <c r="E6" s="43">
        <v>27</v>
      </c>
      <c r="F6" s="43">
        <v>18</v>
      </c>
      <c r="G6" s="43">
        <v>21</v>
      </c>
      <c r="H6" s="43">
        <v>16</v>
      </c>
      <c r="I6" s="44">
        <v>18</v>
      </c>
      <c r="J6" s="43">
        <v>13</v>
      </c>
      <c r="K6" s="43">
        <v>19</v>
      </c>
      <c r="L6" s="43">
        <v>15</v>
      </c>
      <c r="M6" s="43">
        <v>17</v>
      </c>
      <c r="N6" s="43">
        <v>24</v>
      </c>
      <c r="O6" s="43">
        <v>24</v>
      </c>
      <c r="P6" s="43">
        <v>19</v>
      </c>
      <c r="Q6" s="43">
        <v>26</v>
      </c>
      <c r="R6" s="43">
        <v>18</v>
      </c>
      <c r="S6" s="43">
        <v>25</v>
      </c>
      <c r="T6" s="43">
        <v>17</v>
      </c>
      <c r="U6" s="43">
        <v>24</v>
      </c>
      <c r="V6" s="43">
        <v>17</v>
      </c>
      <c r="W6" s="43">
        <v>23</v>
      </c>
      <c r="X6" s="43">
        <v>16</v>
      </c>
      <c r="Y6" s="43">
        <v>21</v>
      </c>
      <c r="Z6" s="43">
        <v>13</v>
      </c>
      <c r="AA6" s="43">
        <v>22</v>
      </c>
      <c r="AB6" s="43">
        <v>13</v>
      </c>
      <c r="AC6" s="43">
        <v>18</v>
      </c>
      <c r="AD6" s="43">
        <v>18</v>
      </c>
      <c r="AE6" s="43">
        <v>23</v>
      </c>
      <c r="AF6" s="43">
        <v>24</v>
      </c>
      <c r="AG6" s="43">
        <v>22</v>
      </c>
      <c r="AH6" s="43">
        <v>19</v>
      </c>
      <c r="AI6" s="43">
        <v>26</v>
      </c>
      <c r="AJ6" s="43">
        <v>17</v>
      </c>
      <c r="AK6" s="43">
        <v>18</v>
      </c>
      <c r="AL6" s="43">
        <v>22</v>
      </c>
      <c r="AM6" s="43">
        <v>21</v>
      </c>
      <c r="AN6" s="43">
        <v>18</v>
      </c>
      <c r="AO6" s="43">
        <v>24</v>
      </c>
      <c r="AP6" s="43">
        <v>18</v>
      </c>
      <c r="AQ6" s="43">
        <v>22</v>
      </c>
      <c r="AR6" s="43">
        <v>16</v>
      </c>
      <c r="AS6" s="43">
        <v>9</v>
      </c>
      <c r="AT6" s="43">
        <v>14</v>
      </c>
      <c r="AU6" s="48">
        <v>12</v>
      </c>
      <c r="AV6" s="28"/>
      <c r="AW6" s="28"/>
    </row>
    <row r="7" spans="1:51" ht="16" x14ac:dyDescent="0.15">
      <c r="A7" s="41" t="s">
        <v>54</v>
      </c>
      <c r="B7" s="42">
        <v>26</v>
      </c>
      <c r="C7" s="43">
        <v>24</v>
      </c>
      <c r="D7" s="43">
        <v>27</v>
      </c>
      <c r="E7" s="43">
        <v>28</v>
      </c>
      <c r="F7" s="43">
        <v>19</v>
      </c>
      <c r="G7" s="43">
        <v>19</v>
      </c>
      <c r="H7" s="43">
        <v>13</v>
      </c>
      <c r="I7" s="44">
        <v>21</v>
      </c>
      <c r="J7" s="43">
        <v>12</v>
      </c>
      <c r="K7" s="43">
        <v>18</v>
      </c>
      <c r="L7" s="43">
        <v>19</v>
      </c>
      <c r="M7" s="43">
        <v>20</v>
      </c>
      <c r="N7" s="43">
        <v>21</v>
      </c>
      <c r="O7" s="43">
        <v>19</v>
      </c>
      <c r="P7" s="43">
        <v>22</v>
      </c>
      <c r="Q7" s="43">
        <v>26</v>
      </c>
      <c r="R7" s="43">
        <v>23</v>
      </c>
      <c r="S7" s="43">
        <v>30</v>
      </c>
      <c r="T7" s="43">
        <v>20</v>
      </c>
      <c r="U7" s="43">
        <v>26</v>
      </c>
      <c r="V7" s="43">
        <v>22</v>
      </c>
      <c r="W7" s="43">
        <v>16</v>
      </c>
      <c r="X7" s="43">
        <v>19</v>
      </c>
      <c r="Y7" s="43">
        <v>21</v>
      </c>
      <c r="Z7" s="43">
        <v>18</v>
      </c>
      <c r="AA7" s="43">
        <v>18</v>
      </c>
      <c r="AB7" s="43">
        <v>18</v>
      </c>
      <c r="AC7" s="43">
        <v>17</v>
      </c>
      <c r="AD7" s="43">
        <v>27</v>
      </c>
      <c r="AE7" s="43">
        <v>21</v>
      </c>
      <c r="AF7" s="43">
        <v>24</v>
      </c>
      <c r="AG7" s="43">
        <v>25</v>
      </c>
      <c r="AH7" s="43">
        <v>16</v>
      </c>
      <c r="AI7" s="43">
        <v>19</v>
      </c>
      <c r="AJ7" s="47" t="s">
        <v>49</v>
      </c>
      <c r="AK7" s="43">
        <v>17</v>
      </c>
      <c r="AL7" s="43">
        <v>17</v>
      </c>
      <c r="AM7" s="43">
        <v>23</v>
      </c>
      <c r="AN7" s="43">
        <v>17</v>
      </c>
      <c r="AO7" s="43">
        <v>22</v>
      </c>
      <c r="AP7" s="43">
        <v>24</v>
      </c>
      <c r="AQ7" s="43">
        <v>22</v>
      </c>
      <c r="AR7" s="43">
        <v>15</v>
      </c>
      <c r="AS7" s="43">
        <v>21</v>
      </c>
      <c r="AT7" s="43">
        <v>10</v>
      </c>
      <c r="AU7" s="45" t="s">
        <v>49</v>
      </c>
      <c r="AV7" s="28"/>
      <c r="AW7" s="28"/>
    </row>
    <row r="8" spans="1:51" ht="16" x14ac:dyDescent="0.15">
      <c r="A8" s="41" t="s">
        <v>55</v>
      </c>
      <c r="B8" s="42">
        <v>17</v>
      </c>
      <c r="C8" s="43">
        <v>19</v>
      </c>
      <c r="D8" s="43">
        <v>22</v>
      </c>
      <c r="E8" s="43">
        <v>25</v>
      </c>
      <c r="F8" s="43">
        <v>18</v>
      </c>
      <c r="G8" s="43">
        <v>18</v>
      </c>
      <c r="H8" s="43">
        <v>12</v>
      </c>
      <c r="I8" s="44">
        <v>22</v>
      </c>
      <c r="J8" s="47" t="s">
        <v>49</v>
      </c>
      <c r="K8" s="43">
        <v>14</v>
      </c>
      <c r="L8" s="43">
        <v>18</v>
      </c>
      <c r="M8" s="43">
        <v>18</v>
      </c>
      <c r="N8" s="43">
        <v>19</v>
      </c>
      <c r="O8" s="43">
        <v>24</v>
      </c>
      <c r="P8" s="43">
        <v>13</v>
      </c>
      <c r="Q8" s="43">
        <v>23</v>
      </c>
      <c r="R8" s="43">
        <v>21</v>
      </c>
      <c r="S8" s="43">
        <v>24</v>
      </c>
      <c r="T8" s="43">
        <v>24</v>
      </c>
      <c r="U8" s="43">
        <v>24</v>
      </c>
      <c r="V8" s="43">
        <v>13</v>
      </c>
      <c r="W8" s="43">
        <v>24</v>
      </c>
      <c r="X8" s="43">
        <v>20</v>
      </c>
      <c r="Y8" s="43">
        <v>26</v>
      </c>
      <c r="Z8" s="43">
        <v>14</v>
      </c>
      <c r="AA8" s="43">
        <v>19</v>
      </c>
      <c r="AB8" s="43">
        <v>16</v>
      </c>
      <c r="AC8" s="47" t="s">
        <v>49</v>
      </c>
      <c r="AD8" s="43">
        <v>18</v>
      </c>
      <c r="AE8" s="43">
        <v>22</v>
      </c>
      <c r="AF8" s="43">
        <v>18</v>
      </c>
      <c r="AG8" s="43">
        <v>19</v>
      </c>
      <c r="AH8" s="43">
        <v>16</v>
      </c>
      <c r="AI8" s="43">
        <v>18</v>
      </c>
      <c r="AJ8" s="43">
        <v>15</v>
      </c>
      <c r="AK8" s="43">
        <v>19</v>
      </c>
      <c r="AL8" s="43">
        <v>9</v>
      </c>
      <c r="AM8" s="43">
        <v>22</v>
      </c>
      <c r="AN8" s="43">
        <v>14</v>
      </c>
      <c r="AO8" s="43">
        <v>22</v>
      </c>
      <c r="AP8" s="43">
        <v>16</v>
      </c>
      <c r="AQ8" s="43">
        <v>20</v>
      </c>
      <c r="AR8" s="43">
        <v>24</v>
      </c>
      <c r="AS8" s="43">
        <v>16</v>
      </c>
      <c r="AT8" s="43">
        <v>12</v>
      </c>
      <c r="AU8" s="45" t="s">
        <v>49</v>
      </c>
      <c r="AV8" s="28"/>
      <c r="AW8" s="28"/>
    </row>
    <row r="9" spans="1:51" ht="16" x14ac:dyDescent="0.15">
      <c r="A9" s="41" t="s">
        <v>56</v>
      </c>
      <c r="B9" s="42">
        <v>28</v>
      </c>
      <c r="C9" s="43">
        <v>21</v>
      </c>
      <c r="D9" s="43">
        <v>26</v>
      </c>
      <c r="E9" s="43">
        <v>20</v>
      </c>
      <c r="F9" s="43">
        <v>17</v>
      </c>
      <c r="G9" s="43">
        <v>23</v>
      </c>
      <c r="H9" s="43">
        <v>18</v>
      </c>
      <c r="I9" s="44">
        <v>17</v>
      </c>
      <c r="J9" s="43">
        <v>18</v>
      </c>
      <c r="K9" s="43">
        <v>17</v>
      </c>
      <c r="L9" s="43">
        <v>17</v>
      </c>
      <c r="M9" s="43">
        <v>14</v>
      </c>
      <c r="N9" s="43">
        <v>21</v>
      </c>
      <c r="O9" s="43">
        <v>24</v>
      </c>
      <c r="P9" s="43">
        <v>17</v>
      </c>
      <c r="Q9" s="43">
        <v>27</v>
      </c>
      <c r="R9" s="43">
        <v>26</v>
      </c>
      <c r="S9" s="43">
        <v>28</v>
      </c>
      <c r="T9" s="47" t="s">
        <v>49</v>
      </c>
      <c r="U9" s="43">
        <v>28</v>
      </c>
      <c r="V9" s="43">
        <v>19</v>
      </c>
      <c r="W9" s="43">
        <v>20</v>
      </c>
      <c r="X9" s="43">
        <v>20</v>
      </c>
      <c r="Y9" s="43">
        <v>20</v>
      </c>
      <c r="Z9" s="43">
        <v>16</v>
      </c>
      <c r="AA9" s="43">
        <v>25</v>
      </c>
      <c r="AB9" s="43">
        <v>15</v>
      </c>
      <c r="AC9" s="43">
        <v>22</v>
      </c>
      <c r="AD9" s="43">
        <v>27</v>
      </c>
      <c r="AE9" s="43">
        <v>20</v>
      </c>
      <c r="AF9" s="43">
        <v>28</v>
      </c>
      <c r="AG9" s="43">
        <v>18</v>
      </c>
      <c r="AH9" s="43">
        <v>19</v>
      </c>
      <c r="AI9" s="43">
        <v>16</v>
      </c>
      <c r="AJ9" s="47" t="s">
        <v>49</v>
      </c>
      <c r="AK9" s="43">
        <v>15</v>
      </c>
      <c r="AL9" s="43">
        <v>19</v>
      </c>
      <c r="AM9" s="43">
        <v>23</v>
      </c>
      <c r="AN9" s="43">
        <v>18</v>
      </c>
      <c r="AO9" s="43">
        <v>23</v>
      </c>
      <c r="AP9" s="43">
        <v>26</v>
      </c>
      <c r="AQ9" s="43">
        <v>22</v>
      </c>
      <c r="AR9" s="43">
        <v>16</v>
      </c>
      <c r="AS9" s="43">
        <v>19</v>
      </c>
      <c r="AT9" s="43">
        <v>10</v>
      </c>
      <c r="AU9" s="45" t="s">
        <v>49</v>
      </c>
      <c r="AV9" s="28"/>
      <c r="AW9" s="28"/>
    </row>
    <row r="10" spans="1:51" ht="16" x14ac:dyDescent="0.15">
      <c r="A10" s="41" t="s">
        <v>57</v>
      </c>
      <c r="B10" s="42">
        <v>18</v>
      </c>
      <c r="C10" s="43">
        <v>24</v>
      </c>
      <c r="D10" s="43">
        <v>29</v>
      </c>
      <c r="E10" s="43">
        <v>26</v>
      </c>
      <c r="F10" s="43">
        <v>19</v>
      </c>
      <c r="G10" s="43">
        <v>23</v>
      </c>
      <c r="H10" s="43">
        <v>14</v>
      </c>
      <c r="I10" s="44">
        <v>17</v>
      </c>
      <c r="J10" s="43">
        <v>14</v>
      </c>
      <c r="K10" s="43">
        <v>21</v>
      </c>
      <c r="L10" s="43">
        <v>19</v>
      </c>
      <c r="M10" s="43">
        <v>26</v>
      </c>
      <c r="N10" s="43">
        <v>15</v>
      </c>
      <c r="O10" s="43">
        <v>17</v>
      </c>
      <c r="P10" s="43">
        <v>20</v>
      </c>
      <c r="Q10" s="43">
        <v>21</v>
      </c>
      <c r="R10" s="43">
        <v>25</v>
      </c>
      <c r="S10" s="43">
        <v>29</v>
      </c>
      <c r="T10" s="47" t="s">
        <v>49</v>
      </c>
      <c r="U10" s="43">
        <v>27</v>
      </c>
      <c r="V10" s="43">
        <v>17</v>
      </c>
      <c r="W10" s="43">
        <v>18</v>
      </c>
      <c r="X10" s="43">
        <v>15</v>
      </c>
      <c r="Y10" s="43">
        <v>19</v>
      </c>
      <c r="Z10" s="43">
        <v>15</v>
      </c>
      <c r="AA10" s="43">
        <v>20</v>
      </c>
      <c r="AB10" s="43">
        <v>15</v>
      </c>
      <c r="AC10" s="43">
        <v>22</v>
      </c>
      <c r="AD10" s="43">
        <v>26</v>
      </c>
      <c r="AE10" s="43">
        <v>21</v>
      </c>
      <c r="AF10" s="43">
        <v>20</v>
      </c>
      <c r="AG10" s="43">
        <v>17</v>
      </c>
      <c r="AH10" s="43">
        <v>16</v>
      </c>
      <c r="AI10" s="43">
        <v>16</v>
      </c>
      <c r="AJ10" s="43">
        <v>18</v>
      </c>
      <c r="AK10" s="43">
        <v>17</v>
      </c>
      <c r="AL10" s="43">
        <v>20</v>
      </c>
      <c r="AM10" s="43">
        <v>18</v>
      </c>
      <c r="AN10" s="43">
        <v>13</v>
      </c>
      <c r="AO10" s="43">
        <v>24</v>
      </c>
      <c r="AP10" s="43">
        <v>18</v>
      </c>
      <c r="AQ10" s="43">
        <v>22</v>
      </c>
      <c r="AR10" s="43">
        <v>25</v>
      </c>
      <c r="AS10" s="43">
        <v>19</v>
      </c>
      <c r="AT10" s="43">
        <v>8</v>
      </c>
      <c r="AU10" s="45" t="s">
        <v>49</v>
      </c>
      <c r="AV10" s="28"/>
      <c r="AW10" s="28"/>
    </row>
    <row r="11" spans="1:51" ht="16" x14ac:dyDescent="0.15">
      <c r="A11" s="41" t="s">
        <v>58</v>
      </c>
      <c r="B11" s="42">
        <v>24</v>
      </c>
      <c r="C11" s="43">
        <v>26</v>
      </c>
      <c r="D11" s="43">
        <v>26</v>
      </c>
      <c r="E11" s="43">
        <v>25</v>
      </c>
      <c r="F11" s="43">
        <v>18</v>
      </c>
      <c r="G11" s="43">
        <v>24</v>
      </c>
      <c r="H11" s="43">
        <v>14</v>
      </c>
      <c r="I11" s="46" t="s">
        <v>49</v>
      </c>
      <c r="J11" s="43">
        <v>22</v>
      </c>
      <c r="K11" s="43">
        <v>23</v>
      </c>
      <c r="L11" s="43">
        <v>11</v>
      </c>
      <c r="M11" s="43">
        <v>16</v>
      </c>
      <c r="N11" s="43">
        <v>17</v>
      </c>
      <c r="O11" s="43">
        <v>19</v>
      </c>
      <c r="P11" s="43">
        <v>26</v>
      </c>
      <c r="Q11" s="43">
        <v>21</v>
      </c>
      <c r="R11" s="43">
        <v>27</v>
      </c>
      <c r="S11" s="47" t="s">
        <v>49</v>
      </c>
      <c r="T11" s="43">
        <v>24</v>
      </c>
      <c r="U11" s="43">
        <v>26</v>
      </c>
      <c r="V11" s="43">
        <v>17</v>
      </c>
      <c r="W11" s="43">
        <v>22</v>
      </c>
      <c r="X11" s="43">
        <v>19</v>
      </c>
      <c r="Y11" s="43">
        <v>21</v>
      </c>
      <c r="Z11" s="43">
        <v>13</v>
      </c>
      <c r="AA11" s="43">
        <v>20</v>
      </c>
      <c r="AB11" s="43">
        <v>12</v>
      </c>
      <c r="AC11" s="43">
        <v>22</v>
      </c>
      <c r="AD11" s="43">
        <v>24</v>
      </c>
      <c r="AE11" s="43">
        <v>19</v>
      </c>
      <c r="AF11" s="43">
        <v>24</v>
      </c>
      <c r="AG11" s="43">
        <v>22</v>
      </c>
      <c r="AH11" s="43">
        <v>20</v>
      </c>
      <c r="AI11" s="43">
        <v>18</v>
      </c>
      <c r="AJ11" s="43">
        <v>19</v>
      </c>
      <c r="AK11" s="43">
        <v>18</v>
      </c>
      <c r="AL11" s="43">
        <v>19</v>
      </c>
      <c r="AM11" s="43">
        <v>24</v>
      </c>
      <c r="AN11" s="43">
        <v>15</v>
      </c>
      <c r="AO11" s="43">
        <v>20</v>
      </c>
      <c r="AP11" s="43">
        <v>24</v>
      </c>
      <c r="AQ11" s="43">
        <v>23</v>
      </c>
      <c r="AR11" s="43">
        <v>20</v>
      </c>
      <c r="AS11" s="43">
        <v>8</v>
      </c>
      <c r="AT11" s="43">
        <v>12</v>
      </c>
      <c r="AU11" s="48">
        <v>6</v>
      </c>
      <c r="AV11" s="28"/>
      <c r="AW11" s="28"/>
    </row>
    <row r="12" spans="1:51" ht="16" x14ac:dyDescent="0.15">
      <c r="A12" s="41" t="s">
        <v>59</v>
      </c>
      <c r="B12" s="42">
        <v>24</v>
      </c>
      <c r="C12" s="43">
        <v>25</v>
      </c>
      <c r="D12" s="43">
        <v>25</v>
      </c>
      <c r="E12" s="43">
        <v>27</v>
      </c>
      <c r="F12" s="43">
        <v>17</v>
      </c>
      <c r="G12" s="43">
        <v>24</v>
      </c>
      <c r="H12" s="43">
        <v>19</v>
      </c>
      <c r="I12" s="44">
        <v>19</v>
      </c>
      <c r="J12" s="43">
        <v>20</v>
      </c>
      <c r="K12" s="43">
        <v>21</v>
      </c>
      <c r="L12" s="43">
        <v>17</v>
      </c>
      <c r="M12" s="43">
        <v>23</v>
      </c>
      <c r="N12" s="43">
        <v>19</v>
      </c>
      <c r="O12" s="43">
        <v>16</v>
      </c>
      <c r="P12" s="43">
        <v>20</v>
      </c>
      <c r="Q12" s="43">
        <v>27</v>
      </c>
      <c r="R12" s="43">
        <v>25</v>
      </c>
      <c r="S12" s="43">
        <v>25</v>
      </c>
      <c r="T12" s="43">
        <v>21</v>
      </c>
      <c r="U12" s="43">
        <v>27</v>
      </c>
      <c r="V12" s="43">
        <v>21</v>
      </c>
      <c r="W12" s="43">
        <v>22</v>
      </c>
      <c r="X12" s="43">
        <v>17</v>
      </c>
      <c r="Y12" s="43">
        <v>26</v>
      </c>
      <c r="Z12" s="43">
        <v>13</v>
      </c>
      <c r="AA12" s="43">
        <v>23</v>
      </c>
      <c r="AB12" s="43">
        <v>13</v>
      </c>
      <c r="AC12" s="43">
        <v>23</v>
      </c>
      <c r="AD12" s="43">
        <v>24</v>
      </c>
      <c r="AE12" s="43">
        <v>21</v>
      </c>
      <c r="AF12" s="43">
        <v>25</v>
      </c>
      <c r="AG12" s="43">
        <v>23</v>
      </c>
      <c r="AH12" s="43">
        <v>16</v>
      </c>
      <c r="AI12" s="43">
        <v>18</v>
      </c>
      <c r="AJ12" s="43">
        <v>18</v>
      </c>
      <c r="AK12" s="43">
        <v>20</v>
      </c>
      <c r="AL12" s="43">
        <v>22</v>
      </c>
      <c r="AM12" s="43">
        <v>20</v>
      </c>
      <c r="AN12" s="43">
        <v>20</v>
      </c>
      <c r="AO12" s="43">
        <v>23</v>
      </c>
      <c r="AP12" s="43">
        <v>18</v>
      </c>
      <c r="AQ12" s="43">
        <v>24</v>
      </c>
      <c r="AR12" s="43">
        <v>23</v>
      </c>
      <c r="AS12" s="43">
        <v>20</v>
      </c>
      <c r="AT12" s="43">
        <v>14</v>
      </c>
      <c r="AU12" s="48"/>
      <c r="AV12" s="28"/>
      <c r="AW12" s="28"/>
    </row>
    <row r="13" spans="1:51" ht="16" x14ac:dyDescent="0.15">
      <c r="A13" s="41" t="s">
        <v>60</v>
      </c>
      <c r="B13" s="42">
        <v>17</v>
      </c>
      <c r="C13" s="43">
        <v>29</v>
      </c>
      <c r="D13" s="43">
        <v>31</v>
      </c>
      <c r="E13" s="43">
        <v>26</v>
      </c>
      <c r="F13" s="43">
        <v>21</v>
      </c>
      <c r="G13" s="43">
        <v>21</v>
      </c>
      <c r="H13" s="43">
        <v>24</v>
      </c>
      <c r="I13" s="46" t="s">
        <v>49</v>
      </c>
      <c r="J13" s="43">
        <v>23</v>
      </c>
      <c r="K13" s="43">
        <v>13</v>
      </c>
      <c r="L13" s="43">
        <v>17</v>
      </c>
      <c r="M13" s="43">
        <v>19</v>
      </c>
      <c r="N13" s="47" t="s">
        <v>49</v>
      </c>
      <c r="O13" s="43">
        <v>21</v>
      </c>
      <c r="P13" s="43">
        <v>8</v>
      </c>
      <c r="Q13" s="43">
        <v>27</v>
      </c>
      <c r="R13" s="43">
        <v>26</v>
      </c>
      <c r="S13" s="43">
        <v>10</v>
      </c>
      <c r="T13" s="43">
        <v>22</v>
      </c>
      <c r="U13" s="43">
        <v>28</v>
      </c>
      <c r="V13" s="43">
        <v>19</v>
      </c>
      <c r="W13" s="43">
        <v>24</v>
      </c>
      <c r="X13" s="43">
        <v>17</v>
      </c>
      <c r="Y13" s="43">
        <v>22</v>
      </c>
      <c r="Z13" s="43">
        <v>16</v>
      </c>
      <c r="AA13" s="43">
        <v>15</v>
      </c>
      <c r="AB13" s="43">
        <v>15</v>
      </c>
      <c r="AC13" s="43">
        <v>21</v>
      </c>
      <c r="AD13" s="43">
        <v>22</v>
      </c>
      <c r="AE13" s="43">
        <v>20</v>
      </c>
      <c r="AF13" s="43">
        <v>23</v>
      </c>
      <c r="AG13" s="43">
        <v>21</v>
      </c>
      <c r="AH13" s="43">
        <v>20</v>
      </c>
      <c r="AI13" s="43">
        <v>19</v>
      </c>
      <c r="AJ13" s="43">
        <v>19</v>
      </c>
      <c r="AK13" s="43">
        <v>14</v>
      </c>
      <c r="AL13" s="43">
        <v>18</v>
      </c>
      <c r="AM13" s="43">
        <v>23</v>
      </c>
      <c r="AN13" s="43">
        <v>18</v>
      </c>
      <c r="AO13" s="43">
        <v>19</v>
      </c>
      <c r="AP13" s="43">
        <v>23</v>
      </c>
      <c r="AQ13" s="43">
        <v>23</v>
      </c>
      <c r="AR13" s="43">
        <v>16</v>
      </c>
      <c r="AS13" s="47" t="s">
        <v>49</v>
      </c>
      <c r="AT13" s="43">
        <v>11</v>
      </c>
      <c r="AU13" s="49"/>
      <c r="AV13" s="28"/>
      <c r="AW13" s="28"/>
    </row>
    <row r="14" spans="1:51" ht="16" x14ac:dyDescent="0.15">
      <c r="A14" s="41" t="s">
        <v>61</v>
      </c>
      <c r="B14" s="42">
        <v>20</v>
      </c>
      <c r="C14" s="43">
        <v>28</v>
      </c>
      <c r="D14" s="43">
        <v>24</v>
      </c>
      <c r="E14" s="43">
        <v>26</v>
      </c>
      <c r="F14" s="43">
        <v>17</v>
      </c>
      <c r="G14" s="43">
        <v>26</v>
      </c>
      <c r="H14" s="43">
        <v>14</v>
      </c>
      <c r="I14" s="44">
        <v>19</v>
      </c>
      <c r="J14" s="43">
        <v>17</v>
      </c>
      <c r="K14" s="43">
        <v>22</v>
      </c>
      <c r="L14" s="43">
        <v>23</v>
      </c>
      <c r="M14" s="43">
        <v>22</v>
      </c>
      <c r="N14" s="43">
        <v>13</v>
      </c>
      <c r="O14" s="43">
        <v>20</v>
      </c>
      <c r="P14" s="43">
        <v>24</v>
      </c>
      <c r="Q14" s="43">
        <v>26</v>
      </c>
      <c r="R14" s="43"/>
      <c r="S14" s="43">
        <v>26</v>
      </c>
      <c r="T14" s="43">
        <v>24</v>
      </c>
      <c r="U14" s="43">
        <v>27</v>
      </c>
      <c r="V14" s="43">
        <v>20</v>
      </c>
      <c r="W14" s="43">
        <v>17</v>
      </c>
      <c r="X14" s="43">
        <v>10</v>
      </c>
      <c r="Y14" s="43">
        <v>20</v>
      </c>
      <c r="Z14" s="43">
        <v>16</v>
      </c>
      <c r="AA14" s="43">
        <v>23</v>
      </c>
      <c r="AB14" s="43">
        <v>27</v>
      </c>
      <c r="AC14" s="43">
        <v>18</v>
      </c>
      <c r="AD14" s="43">
        <v>22</v>
      </c>
      <c r="AE14" s="43">
        <v>24</v>
      </c>
      <c r="AF14" s="43">
        <v>19</v>
      </c>
      <c r="AG14" s="43">
        <v>23</v>
      </c>
      <c r="AH14" s="43">
        <v>16</v>
      </c>
      <c r="AI14" s="47" t="s">
        <v>49</v>
      </c>
      <c r="AJ14" s="43">
        <v>18</v>
      </c>
      <c r="AK14" s="43">
        <v>16</v>
      </c>
      <c r="AL14" s="43">
        <v>18</v>
      </c>
      <c r="AM14" s="43">
        <v>20</v>
      </c>
      <c r="AN14" s="43">
        <v>15</v>
      </c>
      <c r="AO14" s="43">
        <v>41</v>
      </c>
      <c r="AP14" s="43">
        <v>20</v>
      </c>
      <c r="AQ14" s="43">
        <v>18</v>
      </c>
      <c r="AR14" s="43">
        <v>25</v>
      </c>
      <c r="AS14" s="43">
        <v>20</v>
      </c>
      <c r="AT14" s="43">
        <v>14</v>
      </c>
      <c r="AU14" s="48"/>
      <c r="AV14" s="28"/>
      <c r="AW14" s="28"/>
    </row>
    <row r="15" spans="1:51" ht="16" x14ac:dyDescent="0.15">
      <c r="A15" s="41" t="s">
        <v>62</v>
      </c>
      <c r="B15" s="42"/>
      <c r="C15" s="43">
        <v>23</v>
      </c>
      <c r="D15" s="43">
        <v>23</v>
      </c>
      <c r="E15" s="43">
        <v>24</v>
      </c>
      <c r="F15" s="43">
        <v>20</v>
      </c>
      <c r="G15" s="43">
        <v>28</v>
      </c>
      <c r="H15" s="43"/>
      <c r="I15" s="44">
        <v>17</v>
      </c>
      <c r="J15" s="43"/>
      <c r="K15" s="43">
        <v>20</v>
      </c>
      <c r="L15" s="43"/>
      <c r="M15" s="43">
        <v>22</v>
      </c>
      <c r="N15" s="43">
        <v>16</v>
      </c>
      <c r="O15" s="43">
        <v>22</v>
      </c>
      <c r="P15" s="47" t="s">
        <v>49</v>
      </c>
      <c r="Q15" s="43">
        <v>22</v>
      </c>
      <c r="R15" s="50"/>
      <c r="S15" s="43">
        <v>26</v>
      </c>
      <c r="T15" s="43">
        <v>17</v>
      </c>
      <c r="U15" s="43">
        <v>22</v>
      </c>
      <c r="V15" s="43">
        <v>23</v>
      </c>
      <c r="W15" s="43">
        <v>16</v>
      </c>
      <c r="X15" s="43">
        <v>16</v>
      </c>
      <c r="Y15" s="43">
        <v>19</v>
      </c>
      <c r="Z15" s="43">
        <v>15</v>
      </c>
      <c r="AA15" s="43">
        <v>23</v>
      </c>
      <c r="AB15" s="43">
        <v>16</v>
      </c>
      <c r="AC15" s="43">
        <v>21</v>
      </c>
      <c r="AD15" s="43">
        <v>24</v>
      </c>
      <c r="AE15" s="43">
        <v>18</v>
      </c>
      <c r="AF15" s="43">
        <v>21</v>
      </c>
      <c r="AG15" s="43">
        <v>19</v>
      </c>
      <c r="AH15" s="43">
        <v>23</v>
      </c>
      <c r="AI15" s="43">
        <v>23</v>
      </c>
      <c r="AJ15" s="43">
        <v>17</v>
      </c>
      <c r="AK15" s="43">
        <v>19</v>
      </c>
      <c r="AL15" s="43">
        <v>18</v>
      </c>
      <c r="AM15" s="43">
        <v>20</v>
      </c>
      <c r="AN15" s="43">
        <v>17</v>
      </c>
      <c r="AO15" s="43"/>
      <c r="AP15" s="43">
        <v>21</v>
      </c>
      <c r="AQ15" s="43">
        <v>21</v>
      </c>
      <c r="AR15" s="43">
        <v>20</v>
      </c>
      <c r="AS15" s="47" t="s">
        <v>49</v>
      </c>
      <c r="AT15" s="43">
        <v>12</v>
      </c>
      <c r="AU15" s="48"/>
      <c r="AV15" s="28"/>
      <c r="AW15" s="28"/>
    </row>
    <row r="16" spans="1:51" ht="16" x14ac:dyDescent="0.15">
      <c r="A16" s="41" t="s">
        <v>63</v>
      </c>
      <c r="B16" s="51"/>
      <c r="C16" s="43">
        <v>25</v>
      </c>
      <c r="D16" s="43">
        <v>29</v>
      </c>
      <c r="E16" s="43">
        <v>27</v>
      </c>
      <c r="F16" s="43"/>
      <c r="G16" s="43">
        <v>23</v>
      </c>
      <c r="H16" s="50"/>
      <c r="I16" s="44">
        <v>24</v>
      </c>
      <c r="J16" s="50"/>
      <c r="K16" s="43">
        <v>21</v>
      </c>
      <c r="L16" s="50"/>
      <c r="M16" s="43">
        <v>16</v>
      </c>
      <c r="N16" s="43">
        <v>13</v>
      </c>
      <c r="O16" s="43">
        <v>17</v>
      </c>
      <c r="P16" s="43">
        <v>24</v>
      </c>
      <c r="Q16" s="43">
        <v>25</v>
      </c>
      <c r="R16" s="43"/>
      <c r="S16" s="43">
        <v>25</v>
      </c>
      <c r="T16" s="43">
        <v>19</v>
      </c>
      <c r="U16" s="43">
        <v>17</v>
      </c>
      <c r="V16" s="43">
        <v>22</v>
      </c>
      <c r="W16" s="43">
        <v>23</v>
      </c>
      <c r="X16" s="43"/>
      <c r="Y16" s="43">
        <v>20</v>
      </c>
      <c r="Z16" s="43">
        <v>17</v>
      </c>
      <c r="AA16" s="43">
        <v>21</v>
      </c>
      <c r="AB16" s="43">
        <v>18</v>
      </c>
      <c r="AC16" s="43">
        <v>13</v>
      </c>
      <c r="AD16" s="43">
        <v>24</v>
      </c>
      <c r="AE16" s="43">
        <v>19</v>
      </c>
      <c r="AF16" s="43">
        <v>24</v>
      </c>
      <c r="AG16" s="43">
        <v>17</v>
      </c>
      <c r="AH16" s="43">
        <v>16</v>
      </c>
      <c r="AI16" s="43"/>
      <c r="AJ16" s="43">
        <v>19</v>
      </c>
      <c r="AK16" s="47" t="s">
        <v>49</v>
      </c>
      <c r="AL16" s="43">
        <v>19</v>
      </c>
      <c r="AM16" s="43">
        <v>12</v>
      </c>
      <c r="AN16" s="43">
        <v>16</v>
      </c>
      <c r="AO16" s="50"/>
      <c r="AP16" s="43">
        <v>20</v>
      </c>
      <c r="AQ16" s="43"/>
      <c r="AR16" s="43">
        <v>25</v>
      </c>
      <c r="AS16" s="43">
        <v>19</v>
      </c>
      <c r="AT16" s="43">
        <v>14</v>
      </c>
      <c r="AU16" s="48"/>
      <c r="AV16" s="28"/>
      <c r="AW16" s="28"/>
    </row>
    <row r="17" spans="1:49" ht="16" x14ac:dyDescent="0.15">
      <c r="A17" s="41" t="s">
        <v>64</v>
      </c>
      <c r="B17" s="42"/>
      <c r="C17" s="43">
        <v>19</v>
      </c>
      <c r="D17" s="43">
        <v>29</v>
      </c>
      <c r="E17" s="43">
        <v>27</v>
      </c>
      <c r="F17" s="50"/>
      <c r="G17" s="43">
        <v>23</v>
      </c>
      <c r="H17" s="43"/>
      <c r="I17" s="46" t="s">
        <v>49</v>
      </c>
      <c r="J17" s="43"/>
      <c r="K17" s="43">
        <v>23</v>
      </c>
      <c r="L17" s="43"/>
      <c r="M17" s="47" t="s">
        <v>49</v>
      </c>
      <c r="N17" s="43">
        <v>22</v>
      </c>
      <c r="O17" s="43">
        <v>22</v>
      </c>
      <c r="P17" s="43">
        <v>17</v>
      </c>
      <c r="Q17" s="43">
        <v>23</v>
      </c>
      <c r="R17" s="43"/>
      <c r="S17" s="43">
        <v>23</v>
      </c>
      <c r="T17" s="43">
        <v>23</v>
      </c>
      <c r="U17" s="43">
        <v>15</v>
      </c>
      <c r="V17" s="43">
        <v>21</v>
      </c>
      <c r="W17" s="47" t="s">
        <v>49</v>
      </c>
      <c r="X17" s="50"/>
      <c r="Y17" s="43">
        <v>11</v>
      </c>
      <c r="Z17" s="43">
        <v>16</v>
      </c>
      <c r="AA17" s="43">
        <v>20</v>
      </c>
      <c r="AB17" s="43">
        <v>17</v>
      </c>
      <c r="AC17" s="43">
        <v>22</v>
      </c>
      <c r="AD17" s="43">
        <v>23</v>
      </c>
      <c r="AE17" s="43">
        <v>16</v>
      </c>
      <c r="AF17" s="47" t="s">
        <v>49</v>
      </c>
      <c r="AG17" s="43">
        <v>24</v>
      </c>
      <c r="AH17" s="43">
        <v>17</v>
      </c>
      <c r="AI17" s="50"/>
      <c r="AJ17" s="43">
        <v>18</v>
      </c>
      <c r="AK17" s="43">
        <v>16</v>
      </c>
      <c r="AL17" s="43">
        <v>23</v>
      </c>
      <c r="AM17" s="43"/>
      <c r="AN17" s="43">
        <v>17</v>
      </c>
      <c r="AO17" s="43"/>
      <c r="AP17" s="43">
        <v>17</v>
      </c>
      <c r="AQ17" s="50"/>
      <c r="AR17" s="43">
        <v>16</v>
      </c>
      <c r="AS17" s="43">
        <v>20</v>
      </c>
      <c r="AT17" s="43">
        <v>15</v>
      </c>
      <c r="AU17" s="48"/>
      <c r="AV17" s="28"/>
      <c r="AW17" s="28"/>
    </row>
    <row r="18" spans="1:49" ht="16" x14ac:dyDescent="0.15">
      <c r="A18" s="41" t="s">
        <v>65</v>
      </c>
      <c r="B18" s="42"/>
      <c r="C18" s="43">
        <v>31</v>
      </c>
      <c r="D18" s="43">
        <v>30</v>
      </c>
      <c r="E18" s="43">
        <v>28</v>
      </c>
      <c r="F18" s="43"/>
      <c r="G18" s="43">
        <v>24</v>
      </c>
      <c r="H18" s="43"/>
      <c r="I18" s="44">
        <v>22</v>
      </c>
      <c r="J18" s="43"/>
      <c r="K18" s="43">
        <v>16</v>
      </c>
      <c r="L18" s="43"/>
      <c r="M18" s="43">
        <v>24</v>
      </c>
      <c r="N18" s="43">
        <v>20</v>
      </c>
      <c r="O18" s="43">
        <v>21</v>
      </c>
      <c r="P18" s="43">
        <v>25</v>
      </c>
      <c r="Q18" s="43">
        <v>26</v>
      </c>
      <c r="R18" s="43"/>
      <c r="S18" s="43">
        <v>23</v>
      </c>
      <c r="T18" s="43">
        <v>26</v>
      </c>
      <c r="U18" s="43">
        <v>13</v>
      </c>
      <c r="V18" s="43"/>
      <c r="W18" s="43">
        <v>20</v>
      </c>
      <c r="X18" s="43"/>
      <c r="Y18" s="43">
        <v>20</v>
      </c>
      <c r="Z18" s="43">
        <v>16</v>
      </c>
      <c r="AA18" s="43"/>
      <c r="AB18" s="43">
        <v>16</v>
      </c>
      <c r="AC18" s="43">
        <v>16</v>
      </c>
      <c r="AD18" s="43">
        <v>19</v>
      </c>
      <c r="AE18" s="43">
        <v>19</v>
      </c>
      <c r="AF18" s="43">
        <v>14</v>
      </c>
      <c r="AG18" s="43">
        <v>22</v>
      </c>
      <c r="AH18" s="43">
        <v>20</v>
      </c>
      <c r="AI18" s="43"/>
      <c r="AJ18" s="43">
        <v>17</v>
      </c>
      <c r="AK18" s="43"/>
      <c r="AL18" s="43">
        <v>18</v>
      </c>
      <c r="AM18" s="50"/>
      <c r="AN18" s="43">
        <v>16</v>
      </c>
      <c r="AO18" s="43"/>
      <c r="AP18" s="47" t="s">
        <v>49</v>
      </c>
      <c r="AQ18" s="43"/>
      <c r="AR18" s="43">
        <v>19</v>
      </c>
      <c r="AS18" s="43"/>
      <c r="AT18" s="43">
        <v>14</v>
      </c>
      <c r="AU18" s="48"/>
      <c r="AV18" s="28"/>
      <c r="AW18" s="28"/>
    </row>
    <row r="19" spans="1:49" ht="16" x14ac:dyDescent="0.15">
      <c r="A19" s="41" t="s">
        <v>66</v>
      </c>
      <c r="B19" s="42"/>
      <c r="C19" s="47" t="s">
        <v>49</v>
      </c>
      <c r="D19" s="43"/>
      <c r="E19" s="43">
        <v>23</v>
      </c>
      <c r="F19" s="43"/>
      <c r="G19" s="43">
        <v>21</v>
      </c>
      <c r="H19" s="43"/>
      <c r="I19" s="46" t="s">
        <v>49</v>
      </c>
      <c r="J19" s="43"/>
      <c r="K19" s="43">
        <v>23</v>
      </c>
      <c r="L19" s="43"/>
      <c r="M19" s="43"/>
      <c r="N19" s="43"/>
      <c r="O19" s="43">
        <v>24</v>
      </c>
      <c r="P19" s="43"/>
      <c r="Q19" s="43">
        <v>22</v>
      </c>
      <c r="R19" s="43"/>
      <c r="S19" s="43">
        <v>12</v>
      </c>
      <c r="T19" s="43">
        <v>23</v>
      </c>
      <c r="U19" s="43">
        <v>14</v>
      </c>
      <c r="V19" s="50"/>
      <c r="W19" s="43">
        <v>18</v>
      </c>
      <c r="X19" s="43"/>
      <c r="Y19" s="43"/>
      <c r="Z19" s="43">
        <v>18</v>
      </c>
      <c r="AA19" s="50"/>
      <c r="AB19" s="43">
        <v>18</v>
      </c>
      <c r="AC19" s="43">
        <v>18</v>
      </c>
      <c r="AD19" s="43">
        <v>18</v>
      </c>
      <c r="AE19" s="43"/>
      <c r="AF19" s="43"/>
      <c r="AG19" s="43">
        <v>21</v>
      </c>
      <c r="AH19" s="43">
        <v>16</v>
      </c>
      <c r="AI19" s="43"/>
      <c r="AJ19" s="43">
        <v>18</v>
      </c>
      <c r="AK19" s="50"/>
      <c r="AL19" s="43">
        <v>22</v>
      </c>
      <c r="AM19" s="43"/>
      <c r="AN19" s="43">
        <v>15</v>
      </c>
      <c r="AO19" s="43"/>
      <c r="AP19" s="43">
        <v>21</v>
      </c>
      <c r="AQ19" s="43"/>
      <c r="AR19" s="43"/>
      <c r="AS19" s="50"/>
      <c r="AT19" s="43">
        <v>15</v>
      </c>
      <c r="AU19" s="48"/>
      <c r="AV19" s="28"/>
      <c r="AW19" s="28"/>
    </row>
    <row r="20" spans="1:49" ht="16" x14ac:dyDescent="0.15">
      <c r="A20" s="41" t="s">
        <v>67</v>
      </c>
      <c r="B20" s="42"/>
      <c r="C20" s="43"/>
      <c r="D20" s="50"/>
      <c r="E20" s="43">
        <v>28</v>
      </c>
      <c r="F20" s="43"/>
      <c r="G20" s="43">
        <v>25</v>
      </c>
      <c r="H20" s="43"/>
      <c r="I20" s="46" t="s">
        <v>49</v>
      </c>
      <c r="J20" s="43"/>
      <c r="K20" s="43">
        <v>20</v>
      </c>
      <c r="L20" s="43"/>
      <c r="M20" s="50"/>
      <c r="N20" s="50"/>
      <c r="O20" s="43">
        <v>24</v>
      </c>
      <c r="P20" s="50"/>
      <c r="Q20" s="43">
        <v>26</v>
      </c>
      <c r="R20" s="43"/>
      <c r="S20" s="43">
        <v>16</v>
      </c>
      <c r="T20" s="43"/>
      <c r="U20" s="43"/>
      <c r="V20" s="43"/>
      <c r="W20" s="43">
        <v>25</v>
      </c>
      <c r="X20" s="43"/>
      <c r="Y20" s="50"/>
      <c r="Z20" s="43"/>
      <c r="AA20" s="43"/>
      <c r="AB20" s="50"/>
      <c r="AC20" s="43"/>
      <c r="AD20" s="43"/>
      <c r="AE20" s="50"/>
      <c r="AF20" s="50"/>
      <c r="AG20" s="43"/>
      <c r="AH20" s="43"/>
      <c r="AI20" s="43"/>
      <c r="AJ20" s="43"/>
      <c r="AK20" s="43"/>
      <c r="AL20" s="43">
        <v>15</v>
      </c>
      <c r="AM20" s="43"/>
      <c r="AN20" s="43">
        <v>14</v>
      </c>
      <c r="AO20" s="43"/>
      <c r="AP20" s="43">
        <v>18</v>
      </c>
      <c r="AQ20" s="43"/>
      <c r="AR20" s="50"/>
      <c r="AS20" s="43"/>
      <c r="AT20" s="43">
        <v>13</v>
      </c>
      <c r="AU20" s="48"/>
      <c r="AV20" s="28"/>
      <c r="AW20" s="28"/>
    </row>
    <row r="21" spans="1:49" ht="16" x14ac:dyDescent="0.15">
      <c r="A21" s="41" t="s">
        <v>68</v>
      </c>
      <c r="B21" s="42"/>
      <c r="C21" s="50"/>
      <c r="D21" s="43"/>
      <c r="E21" s="43">
        <v>25</v>
      </c>
      <c r="F21" s="43"/>
      <c r="G21" s="43">
        <v>23</v>
      </c>
      <c r="H21" s="43"/>
      <c r="I21" s="44">
        <v>30</v>
      </c>
      <c r="J21" s="43"/>
      <c r="K21" s="43">
        <v>25</v>
      </c>
      <c r="L21" s="43"/>
      <c r="M21" s="43"/>
      <c r="N21" s="43"/>
      <c r="O21" s="43">
        <v>23</v>
      </c>
      <c r="P21" s="43"/>
      <c r="Q21" s="43">
        <v>20</v>
      </c>
      <c r="R21" s="43"/>
      <c r="S21" s="43"/>
      <c r="T21" s="50"/>
      <c r="U21" s="50"/>
      <c r="V21" s="43"/>
      <c r="W21" s="43"/>
      <c r="X21" s="43"/>
      <c r="Y21" s="43"/>
      <c r="Z21" s="50"/>
      <c r="AA21" s="43"/>
      <c r="AB21" s="43"/>
      <c r="AC21" s="50"/>
      <c r="AD21" s="50"/>
      <c r="AE21" s="43"/>
      <c r="AF21" s="43"/>
      <c r="AG21" s="50"/>
      <c r="AH21" s="50"/>
      <c r="AI21" s="43"/>
      <c r="AJ21" s="50"/>
      <c r="AK21" s="43"/>
      <c r="AL21" s="43">
        <v>19</v>
      </c>
      <c r="AM21" s="43"/>
      <c r="AN21" s="43">
        <v>18</v>
      </c>
      <c r="AO21" s="43"/>
      <c r="AP21" s="43">
        <v>18</v>
      </c>
      <c r="AQ21" s="43"/>
      <c r="AR21" s="43"/>
      <c r="AS21" s="43"/>
      <c r="AT21" s="43">
        <v>13</v>
      </c>
      <c r="AU21" s="48"/>
      <c r="AV21" s="28"/>
      <c r="AW21" s="28"/>
    </row>
    <row r="22" spans="1:49" ht="16" x14ac:dyDescent="0.15">
      <c r="A22" s="41" t="s">
        <v>69</v>
      </c>
      <c r="B22" s="42"/>
      <c r="C22" s="43"/>
      <c r="D22" s="43"/>
      <c r="E22" s="43">
        <v>23</v>
      </c>
      <c r="F22" s="43"/>
      <c r="G22" s="43">
        <v>18</v>
      </c>
      <c r="H22" s="43"/>
      <c r="I22" s="50"/>
      <c r="J22" s="43"/>
      <c r="K22" s="43"/>
      <c r="L22" s="43"/>
      <c r="M22" s="43"/>
      <c r="N22" s="43"/>
      <c r="O22" s="43">
        <v>22</v>
      </c>
      <c r="P22" s="43"/>
      <c r="Q22" s="43">
        <v>24</v>
      </c>
      <c r="R22" s="43"/>
      <c r="S22" s="50"/>
      <c r="T22" s="43"/>
      <c r="U22" s="43"/>
      <c r="V22" s="43"/>
      <c r="W22" s="50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>
        <v>21</v>
      </c>
      <c r="AM22" s="43"/>
      <c r="AN22" s="43">
        <v>10</v>
      </c>
      <c r="AO22" s="43"/>
      <c r="AP22" s="43"/>
      <c r="AQ22" s="43"/>
      <c r="AR22" s="43"/>
      <c r="AS22" s="43"/>
      <c r="AT22" s="43">
        <v>11</v>
      </c>
      <c r="AU22" s="48"/>
      <c r="AV22" s="28"/>
      <c r="AW22" s="28"/>
    </row>
    <row r="23" spans="1:49" ht="16" x14ac:dyDescent="0.15">
      <c r="A23" s="41" t="s">
        <v>70</v>
      </c>
      <c r="B23" s="42"/>
      <c r="C23" s="43"/>
      <c r="D23" s="43"/>
      <c r="E23" s="43">
        <v>22</v>
      </c>
      <c r="F23" s="43"/>
      <c r="G23" s="43"/>
      <c r="H23" s="43"/>
      <c r="I23" s="50"/>
      <c r="J23" s="43"/>
      <c r="K23" s="50"/>
      <c r="L23" s="43"/>
      <c r="M23" s="43"/>
      <c r="N23" s="43"/>
      <c r="O23" s="43">
        <v>19</v>
      </c>
      <c r="P23" s="43"/>
      <c r="Q23" s="43">
        <v>20</v>
      </c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50"/>
      <c r="AQ23" s="43"/>
      <c r="AR23" s="43"/>
      <c r="AS23" s="43"/>
      <c r="AT23" s="43">
        <v>12</v>
      </c>
      <c r="AU23" s="48"/>
      <c r="AV23" s="28"/>
      <c r="AW23" s="28"/>
    </row>
    <row r="24" spans="1:49" ht="16" x14ac:dyDescent="0.15">
      <c r="A24" s="41" t="s">
        <v>71</v>
      </c>
      <c r="B24" s="42"/>
      <c r="C24" s="43"/>
      <c r="D24" s="43"/>
      <c r="E24" s="43">
        <v>25</v>
      </c>
      <c r="F24" s="43"/>
      <c r="G24" s="50"/>
      <c r="H24" s="43"/>
      <c r="I24" s="43"/>
      <c r="J24" s="43"/>
      <c r="K24" s="43"/>
      <c r="L24" s="43"/>
      <c r="M24" s="43"/>
      <c r="N24" s="43"/>
      <c r="O24" s="43">
        <v>24</v>
      </c>
      <c r="P24" s="43"/>
      <c r="Q24" s="43">
        <v>25</v>
      </c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50"/>
      <c r="AM24" s="43"/>
      <c r="AN24" s="50"/>
      <c r="AO24" s="43"/>
      <c r="AP24" s="43"/>
      <c r="AQ24" s="43"/>
      <c r="AR24" s="43"/>
      <c r="AS24" s="43"/>
      <c r="AT24" s="43"/>
      <c r="AU24" s="48"/>
      <c r="AV24" s="28"/>
      <c r="AW24" s="28"/>
    </row>
    <row r="25" spans="1:49" ht="16" x14ac:dyDescent="0.15">
      <c r="A25" s="41" t="s">
        <v>72</v>
      </c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>
        <v>7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0"/>
      <c r="AU25" s="48"/>
      <c r="AV25" s="28"/>
      <c r="AW25" s="28"/>
    </row>
    <row r="26" spans="1:49" ht="16" x14ac:dyDescent="0.15">
      <c r="A26" s="41" t="s">
        <v>73</v>
      </c>
      <c r="B26" s="42"/>
      <c r="C26" s="43"/>
      <c r="D26" s="43"/>
      <c r="E26" s="50"/>
      <c r="F26" s="43"/>
      <c r="G26" s="43"/>
      <c r="H26" s="43"/>
      <c r="I26" s="43"/>
      <c r="J26" s="43"/>
      <c r="K26" s="43"/>
      <c r="L26" s="43"/>
      <c r="M26" s="43"/>
      <c r="N26" s="43"/>
      <c r="O26" s="43">
        <v>20</v>
      </c>
      <c r="P26" s="43"/>
      <c r="Q26" s="50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8"/>
      <c r="AV26" s="28"/>
      <c r="AW26" s="28"/>
    </row>
    <row r="27" spans="1:49" ht="16" x14ac:dyDescent="0.15">
      <c r="A27" s="41" t="s">
        <v>74</v>
      </c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8"/>
      <c r="AV27" s="28"/>
      <c r="AW27" s="28"/>
    </row>
    <row r="28" spans="1:49" ht="16" x14ac:dyDescent="0.15">
      <c r="A28" s="41" t="s">
        <v>75</v>
      </c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5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8"/>
      <c r="AV28" s="28"/>
      <c r="AW28" s="28"/>
    </row>
    <row r="29" spans="1:49" ht="17" thickBot="1" x14ac:dyDescent="0.2">
      <c r="A29" s="52" t="s">
        <v>76</v>
      </c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5"/>
      <c r="AV29" s="28"/>
      <c r="AW29" s="28"/>
    </row>
    <row r="30" spans="1:49" ht="16" x14ac:dyDescent="0.15">
      <c r="A30" s="56" t="s">
        <v>78</v>
      </c>
      <c r="B30" s="57">
        <f>COUNTIF(B2:B29, "&gt;0")</f>
        <v>13</v>
      </c>
      <c r="C30" s="57">
        <f t="shared" ref="C30:AU30" si="0">COUNTIF(C2:C29, "&gt;0")</f>
        <v>17</v>
      </c>
      <c r="D30" s="57">
        <f t="shared" si="0"/>
        <v>17</v>
      </c>
      <c r="E30" s="57">
        <f t="shared" si="0"/>
        <v>23</v>
      </c>
      <c r="F30" s="57">
        <f t="shared" si="0"/>
        <v>14</v>
      </c>
      <c r="G30" s="57">
        <f t="shared" si="0"/>
        <v>21</v>
      </c>
      <c r="H30" s="57">
        <f t="shared" si="0"/>
        <v>13</v>
      </c>
      <c r="I30" s="57">
        <f t="shared" si="0"/>
        <v>14</v>
      </c>
      <c r="J30" s="57">
        <f t="shared" si="0"/>
        <v>12</v>
      </c>
      <c r="K30" s="57">
        <f t="shared" si="0"/>
        <v>20</v>
      </c>
      <c r="L30" s="57">
        <f t="shared" si="0"/>
        <v>13</v>
      </c>
      <c r="M30" s="57">
        <f t="shared" si="0"/>
        <v>16</v>
      </c>
      <c r="N30" s="57">
        <f t="shared" si="0"/>
        <v>16</v>
      </c>
      <c r="O30" s="57">
        <f t="shared" si="0"/>
        <v>25</v>
      </c>
      <c r="P30" s="57">
        <f t="shared" si="0"/>
        <v>15</v>
      </c>
      <c r="Q30" s="57">
        <f t="shared" si="0"/>
        <v>23</v>
      </c>
      <c r="R30" s="57">
        <f t="shared" si="0"/>
        <v>12</v>
      </c>
      <c r="S30" s="57">
        <f t="shared" si="0"/>
        <v>18</v>
      </c>
      <c r="T30" s="57">
        <f t="shared" si="0"/>
        <v>16</v>
      </c>
      <c r="U30" s="57">
        <f t="shared" si="0"/>
        <v>18</v>
      </c>
      <c r="V30" s="57">
        <f t="shared" si="0"/>
        <v>16</v>
      </c>
      <c r="W30" s="57">
        <f t="shared" si="0"/>
        <v>18</v>
      </c>
      <c r="X30" s="57">
        <f t="shared" si="0"/>
        <v>14</v>
      </c>
      <c r="Y30" s="57">
        <f t="shared" si="0"/>
        <v>17</v>
      </c>
      <c r="Z30" s="57">
        <f t="shared" si="0"/>
        <v>18</v>
      </c>
      <c r="AA30" s="57">
        <f t="shared" si="0"/>
        <v>15</v>
      </c>
      <c r="AB30" s="57">
        <f t="shared" si="0"/>
        <v>18</v>
      </c>
      <c r="AC30" s="57">
        <f t="shared" si="0"/>
        <v>16</v>
      </c>
      <c r="AD30" s="57">
        <f t="shared" si="0"/>
        <v>18</v>
      </c>
      <c r="AE30" s="57">
        <f t="shared" si="0"/>
        <v>17</v>
      </c>
      <c r="AF30" s="57">
        <f t="shared" si="0"/>
        <v>16</v>
      </c>
      <c r="AG30" s="57">
        <f t="shared" si="0"/>
        <v>18</v>
      </c>
      <c r="AH30" s="57">
        <f t="shared" si="0"/>
        <v>18</v>
      </c>
      <c r="AI30" s="57">
        <f t="shared" si="0"/>
        <v>13</v>
      </c>
      <c r="AJ30" s="57">
        <f t="shared" si="0"/>
        <v>16</v>
      </c>
      <c r="AK30" s="57">
        <f t="shared" si="0"/>
        <v>14</v>
      </c>
      <c r="AL30" s="57">
        <f t="shared" si="0"/>
        <v>21</v>
      </c>
      <c r="AM30" s="57">
        <f t="shared" si="0"/>
        <v>15</v>
      </c>
      <c r="AN30" s="57">
        <f t="shared" si="0"/>
        <v>21</v>
      </c>
      <c r="AO30" s="57">
        <f t="shared" si="0"/>
        <v>13</v>
      </c>
      <c r="AP30" s="57">
        <f t="shared" si="0"/>
        <v>19</v>
      </c>
      <c r="AQ30" s="57">
        <f t="shared" si="0"/>
        <v>14</v>
      </c>
      <c r="AR30" s="57">
        <f t="shared" si="0"/>
        <v>17</v>
      </c>
      <c r="AS30" s="57">
        <f t="shared" si="0"/>
        <v>14</v>
      </c>
      <c r="AT30" s="57">
        <f t="shared" si="0"/>
        <v>22</v>
      </c>
      <c r="AU30" s="58">
        <f t="shared" si="0"/>
        <v>3</v>
      </c>
      <c r="AV30" s="31"/>
      <c r="AW30" s="31"/>
    </row>
    <row r="31" spans="1:49" ht="16" x14ac:dyDescent="0.15">
      <c r="A31" s="59" t="s">
        <v>79</v>
      </c>
      <c r="B31" s="60">
        <f>SUM(B2:B29)</f>
        <v>295</v>
      </c>
      <c r="C31" s="60">
        <f t="shared" ref="C31:AU31" si="1">SUM(C2:C29)</f>
        <v>422</v>
      </c>
      <c r="D31" s="60">
        <f t="shared" si="1"/>
        <v>458</v>
      </c>
      <c r="E31" s="60">
        <f t="shared" si="1"/>
        <v>575</v>
      </c>
      <c r="F31" s="60">
        <f t="shared" si="1"/>
        <v>259</v>
      </c>
      <c r="G31" s="60">
        <f t="shared" si="1"/>
        <v>481</v>
      </c>
      <c r="H31" s="60">
        <f t="shared" si="1"/>
        <v>214</v>
      </c>
      <c r="I31" s="60">
        <f t="shared" si="1"/>
        <v>292</v>
      </c>
      <c r="J31" s="60">
        <f t="shared" si="1"/>
        <v>205</v>
      </c>
      <c r="K31" s="60">
        <f t="shared" si="1"/>
        <v>395</v>
      </c>
      <c r="L31" s="60">
        <f t="shared" si="1"/>
        <v>232</v>
      </c>
      <c r="M31" s="60">
        <f t="shared" si="1"/>
        <v>316</v>
      </c>
      <c r="N31" s="60">
        <f t="shared" si="1"/>
        <v>315</v>
      </c>
      <c r="O31" s="60">
        <f t="shared" si="1"/>
        <v>519</v>
      </c>
      <c r="P31" s="60">
        <f t="shared" si="1"/>
        <v>308</v>
      </c>
      <c r="Q31" s="60">
        <f t="shared" si="1"/>
        <v>544</v>
      </c>
      <c r="R31" s="60">
        <f t="shared" si="1"/>
        <v>274</v>
      </c>
      <c r="S31" s="60">
        <f t="shared" si="1"/>
        <v>418</v>
      </c>
      <c r="T31" s="60">
        <f t="shared" si="1"/>
        <v>358</v>
      </c>
      <c r="U31" s="60">
        <f t="shared" si="1"/>
        <v>410</v>
      </c>
      <c r="V31" s="60">
        <f t="shared" si="1"/>
        <v>295</v>
      </c>
      <c r="W31" s="60">
        <f t="shared" si="1"/>
        <v>372</v>
      </c>
      <c r="X31" s="60">
        <f t="shared" si="1"/>
        <v>241</v>
      </c>
      <c r="Y31" s="60">
        <f t="shared" si="1"/>
        <v>337</v>
      </c>
      <c r="Z31" s="60">
        <f t="shared" si="1"/>
        <v>288</v>
      </c>
      <c r="AA31" s="60">
        <f t="shared" si="1"/>
        <v>322</v>
      </c>
      <c r="AB31" s="60">
        <f t="shared" si="1"/>
        <v>301</v>
      </c>
      <c r="AC31" s="60">
        <f t="shared" si="1"/>
        <v>325</v>
      </c>
      <c r="AD31" s="60">
        <f t="shared" si="1"/>
        <v>419</v>
      </c>
      <c r="AE31" s="60">
        <f t="shared" si="1"/>
        <v>353</v>
      </c>
      <c r="AF31" s="60">
        <f t="shared" si="1"/>
        <v>357</v>
      </c>
      <c r="AG31" s="60">
        <f t="shared" si="1"/>
        <v>361</v>
      </c>
      <c r="AH31" s="60">
        <f t="shared" si="1"/>
        <v>321</v>
      </c>
      <c r="AI31" s="60">
        <f t="shared" si="1"/>
        <v>255</v>
      </c>
      <c r="AJ31" s="60">
        <f t="shared" si="1"/>
        <v>293</v>
      </c>
      <c r="AK31" s="60">
        <f t="shared" si="1"/>
        <v>243</v>
      </c>
      <c r="AL31" s="60">
        <f t="shared" si="1"/>
        <v>402</v>
      </c>
      <c r="AM31" s="60">
        <f t="shared" si="1"/>
        <v>309</v>
      </c>
      <c r="AN31" s="60">
        <f t="shared" si="1"/>
        <v>346</v>
      </c>
      <c r="AO31" s="60">
        <f t="shared" si="1"/>
        <v>297</v>
      </c>
      <c r="AP31" s="60">
        <f t="shared" si="1"/>
        <v>390</v>
      </c>
      <c r="AQ31" s="60">
        <f t="shared" si="1"/>
        <v>305</v>
      </c>
      <c r="AR31" s="60">
        <f t="shared" si="1"/>
        <v>339</v>
      </c>
      <c r="AS31" s="60">
        <f t="shared" si="1"/>
        <v>245</v>
      </c>
      <c r="AT31" s="60">
        <f t="shared" si="1"/>
        <v>270</v>
      </c>
      <c r="AU31" s="61">
        <f t="shared" si="1"/>
        <v>31</v>
      </c>
      <c r="AV31" s="31"/>
      <c r="AW31" s="31"/>
    </row>
    <row r="32" spans="1:49" ht="35" thickBot="1" x14ac:dyDescent="0.2">
      <c r="A32" s="62" t="s">
        <v>80</v>
      </c>
      <c r="B32" s="63">
        <f>ROUND(B31/B30, 2)</f>
        <v>22.69</v>
      </c>
      <c r="C32" s="63">
        <f t="shared" ref="C32:AU32" si="2">ROUND(C31/C30, 2)</f>
        <v>24.82</v>
      </c>
      <c r="D32" s="63">
        <f t="shared" si="2"/>
        <v>26.94</v>
      </c>
      <c r="E32" s="63">
        <f t="shared" si="2"/>
        <v>25</v>
      </c>
      <c r="F32" s="63">
        <f t="shared" si="2"/>
        <v>18.5</v>
      </c>
      <c r="G32" s="63">
        <f t="shared" si="2"/>
        <v>22.9</v>
      </c>
      <c r="H32" s="63">
        <f t="shared" si="2"/>
        <v>16.46</v>
      </c>
      <c r="I32" s="63">
        <f t="shared" si="2"/>
        <v>20.86</v>
      </c>
      <c r="J32" s="63">
        <f t="shared" si="2"/>
        <v>17.079999999999998</v>
      </c>
      <c r="K32" s="63">
        <f t="shared" si="2"/>
        <v>19.75</v>
      </c>
      <c r="L32" s="63">
        <f t="shared" si="2"/>
        <v>17.850000000000001</v>
      </c>
      <c r="M32" s="63">
        <f t="shared" si="2"/>
        <v>19.75</v>
      </c>
      <c r="N32" s="63">
        <f t="shared" si="2"/>
        <v>19.690000000000001</v>
      </c>
      <c r="O32" s="63">
        <f t="shared" si="2"/>
        <v>20.76</v>
      </c>
      <c r="P32" s="63">
        <f t="shared" si="2"/>
        <v>20.53</v>
      </c>
      <c r="Q32" s="63">
        <f t="shared" si="2"/>
        <v>23.65</v>
      </c>
      <c r="R32" s="63">
        <f t="shared" si="2"/>
        <v>22.83</v>
      </c>
      <c r="S32" s="63">
        <f t="shared" si="2"/>
        <v>23.22</v>
      </c>
      <c r="T32" s="63">
        <f t="shared" si="2"/>
        <v>22.38</v>
      </c>
      <c r="U32" s="63">
        <f t="shared" si="2"/>
        <v>22.78</v>
      </c>
      <c r="V32" s="63">
        <f t="shared" si="2"/>
        <v>18.440000000000001</v>
      </c>
      <c r="W32" s="63">
        <f t="shared" si="2"/>
        <v>20.67</v>
      </c>
      <c r="X32" s="63">
        <f t="shared" si="2"/>
        <v>17.21</v>
      </c>
      <c r="Y32" s="63">
        <f t="shared" si="2"/>
        <v>19.82</v>
      </c>
      <c r="Z32" s="63">
        <f t="shared" si="2"/>
        <v>16</v>
      </c>
      <c r="AA32" s="63">
        <f t="shared" si="2"/>
        <v>21.47</v>
      </c>
      <c r="AB32" s="63">
        <f t="shared" si="2"/>
        <v>16.72</v>
      </c>
      <c r="AC32" s="63">
        <f t="shared" si="2"/>
        <v>20.309999999999999</v>
      </c>
      <c r="AD32" s="63">
        <f t="shared" si="2"/>
        <v>23.28</v>
      </c>
      <c r="AE32" s="63">
        <f t="shared" si="2"/>
        <v>20.76</v>
      </c>
      <c r="AF32" s="63">
        <f t="shared" si="2"/>
        <v>22.31</v>
      </c>
      <c r="AG32" s="63">
        <f t="shared" si="2"/>
        <v>20.059999999999999</v>
      </c>
      <c r="AH32" s="63">
        <f t="shared" si="2"/>
        <v>17.829999999999998</v>
      </c>
      <c r="AI32" s="63">
        <f t="shared" si="2"/>
        <v>19.62</v>
      </c>
      <c r="AJ32" s="63">
        <f t="shared" si="2"/>
        <v>18.309999999999999</v>
      </c>
      <c r="AK32" s="63">
        <f t="shared" si="2"/>
        <v>17.36</v>
      </c>
      <c r="AL32" s="63">
        <f t="shared" si="2"/>
        <v>19.14</v>
      </c>
      <c r="AM32" s="63">
        <f t="shared" si="2"/>
        <v>20.6</v>
      </c>
      <c r="AN32" s="63">
        <f t="shared" si="2"/>
        <v>16.48</v>
      </c>
      <c r="AO32" s="63">
        <f t="shared" si="2"/>
        <v>22.85</v>
      </c>
      <c r="AP32" s="63">
        <f t="shared" si="2"/>
        <v>20.53</v>
      </c>
      <c r="AQ32" s="63">
        <f t="shared" si="2"/>
        <v>21.79</v>
      </c>
      <c r="AR32" s="63">
        <f t="shared" si="2"/>
        <v>19.940000000000001</v>
      </c>
      <c r="AS32" s="63">
        <f t="shared" si="2"/>
        <v>17.5</v>
      </c>
      <c r="AT32" s="63">
        <f t="shared" si="2"/>
        <v>12.27</v>
      </c>
      <c r="AU32" s="64">
        <f t="shared" si="2"/>
        <v>10.33</v>
      </c>
      <c r="AV32" s="31"/>
      <c r="AW32" s="31"/>
    </row>
    <row r="33" spans="1:47" ht="35" thickBot="1" x14ac:dyDescent="0.2">
      <c r="A33" s="65" t="s">
        <v>81</v>
      </c>
      <c r="B33" s="66">
        <f>ROUND((SUM(B32:AU32) / COUNT(B32:AU32)), 2)</f>
        <v>20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</row>
    <row r="34" spans="1:47" ht="14" thickBot="1" x14ac:dyDescent="0.2">
      <c r="A34" s="6"/>
    </row>
    <row r="35" spans="1:47" ht="17" thickBot="1" x14ac:dyDescent="0.2">
      <c r="A35" s="33" t="s">
        <v>83</v>
      </c>
      <c r="B35" s="35">
        <f>COUNTIF(B2:B29, "X")</f>
        <v>0</v>
      </c>
      <c r="C35" s="35">
        <f t="shared" ref="C35:AU35" si="3">COUNTIF(C2:C29, "X")</f>
        <v>1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6</v>
      </c>
      <c r="J35" s="35">
        <f t="shared" si="3"/>
        <v>1</v>
      </c>
      <c r="K35" s="35">
        <f t="shared" si="3"/>
        <v>0</v>
      </c>
      <c r="L35" s="35">
        <f t="shared" si="3"/>
        <v>0</v>
      </c>
      <c r="M35" s="35">
        <f t="shared" si="3"/>
        <v>1</v>
      </c>
      <c r="N35" s="35">
        <f t="shared" si="3"/>
        <v>1</v>
      </c>
      <c r="O35" s="35">
        <f t="shared" si="3"/>
        <v>0</v>
      </c>
      <c r="P35" s="35">
        <f t="shared" si="3"/>
        <v>2</v>
      </c>
      <c r="Q35" s="35">
        <f t="shared" si="3"/>
        <v>0</v>
      </c>
      <c r="R35" s="35">
        <f t="shared" si="3"/>
        <v>0</v>
      </c>
      <c r="S35" s="35">
        <f t="shared" si="3"/>
        <v>1</v>
      </c>
      <c r="T35" s="35">
        <f t="shared" si="3"/>
        <v>2</v>
      </c>
      <c r="U35" s="35">
        <f t="shared" si="3"/>
        <v>0</v>
      </c>
      <c r="V35" s="35">
        <f t="shared" si="3"/>
        <v>0</v>
      </c>
      <c r="W35" s="35">
        <f t="shared" si="3"/>
        <v>1</v>
      </c>
      <c r="X35" s="35">
        <f t="shared" si="3"/>
        <v>0</v>
      </c>
      <c r="Y35" s="35">
        <f t="shared" si="3"/>
        <v>0</v>
      </c>
      <c r="Z35" s="35">
        <f t="shared" si="3"/>
        <v>0</v>
      </c>
      <c r="AA35" s="35">
        <f t="shared" si="3"/>
        <v>1</v>
      </c>
      <c r="AB35" s="35">
        <f t="shared" si="3"/>
        <v>0</v>
      </c>
      <c r="AC35" s="35">
        <f t="shared" si="3"/>
        <v>2</v>
      </c>
      <c r="AD35" s="35">
        <f t="shared" si="3"/>
        <v>0</v>
      </c>
      <c r="AE35" s="35">
        <f t="shared" si="3"/>
        <v>0</v>
      </c>
      <c r="AF35" s="35">
        <f t="shared" si="3"/>
        <v>1</v>
      </c>
      <c r="AG35" s="35">
        <f t="shared" si="3"/>
        <v>0</v>
      </c>
      <c r="AH35" s="35">
        <f t="shared" si="3"/>
        <v>0</v>
      </c>
      <c r="AI35" s="35">
        <f t="shared" si="3"/>
        <v>1</v>
      </c>
      <c r="AJ35" s="35">
        <f>COUNTIF(AJ2:AJ29, "X")</f>
        <v>2</v>
      </c>
      <c r="AK35" s="35">
        <f t="shared" si="3"/>
        <v>2</v>
      </c>
      <c r="AL35" s="35">
        <f t="shared" si="3"/>
        <v>0</v>
      </c>
      <c r="AM35" s="35">
        <f t="shared" si="3"/>
        <v>0</v>
      </c>
      <c r="AN35" s="35">
        <f t="shared" si="3"/>
        <v>0</v>
      </c>
      <c r="AO35" s="35">
        <f t="shared" si="3"/>
        <v>0</v>
      </c>
      <c r="AP35" s="35">
        <f t="shared" si="3"/>
        <v>1</v>
      </c>
      <c r="AQ35" s="35">
        <f t="shared" si="3"/>
        <v>0</v>
      </c>
      <c r="AR35" s="35">
        <f t="shared" si="3"/>
        <v>0</v>
      </c>
      <c r="AS35" s="35">
        <f t="shared" si="3"/>
        <v>2</v>
      </c>
      <c r="AT35" s="35">
        <f t="shared" si="3"/>
        <v>0</v>
      </c>
      <c r="AU35" s="35">
        <f t="shared" si="3"/>
        <v>7</v>
      </c>
    </row>
    <row r="36" spans="1:47" ht="17" thickBot="1" x14ac:dyDescent="0.2">
      <c r="A36" s="34" t="s">
        <v>82</v>
      </c>
      <c r="B36" s="32">
        <f>SUM(B35:AU35)</f>
        <v>35</v>
      </c>
    </row>
    <row r="37" spans="1:47" x14ac:dyDescent="0.15">
      <c r="A37" s="6"/>
    </row>
    <row r="38" spans="1:47" x14ac:dyDescent="0.15">
      <c r="A38" s="6"/>
    </row>
    <row r="39" spans="1:47" x14ac:dyDescent="0.15">
      <c r="A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9-25-25 CONTROL (Non Solar)</vt:lpstr>
      <vt:lpstr>9-26-25 SOLAR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Areesha Imtiaz</cp:lastModifiedBy>
  <cp:revision/>
  <dcterms:created xsi:type="dcterms:W3CDTF">2025-10-04T09:04:18Z</dcterms:created>
  <dcterms:modified xsi:type="dcterms:W3CDTF">2026-02-21T03:17:58Z</dcterms:modified>
  <cp:category/>
  <cp:contentStatus/>
</cp:coreProperties>
</file>