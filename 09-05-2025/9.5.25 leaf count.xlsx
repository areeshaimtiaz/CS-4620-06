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areeshaimtiaz/Desktop/"/>
    </mc:Choice>
  </mc:AlternateContent>
  <xr:revisionPtr revIDLastSave="0" documentId="8_{FF65E43B-224F-7943-9119-4DAFACB91718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9-5-25 CONTROL (Non Solar)" sheetId="1" r:id="rId1"/>
    <sheet name="9-6-25 SOLA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1" l="1"/>
  <c r="B33" i="2"/>
  <c r="D39" i="2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B31" i="1"/>
  <c r="B30" i="1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B32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B31" i="2"/>
  <c r="B30" i="2"/>
  <c r="C32" i="1" l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S32" i="1"/>
  <c r="B32" i="1"/>
</calcChain>
</file>

<file path=xl/sharedStrings.xml><?xml version="1.0" encoding="utf-8"?>
<sst xmlns="http://schemas.openxmlformats.org/spreadsheetml/2006/main" count="260" uniqueCount="97">
  <si>
    <t>P1Q1A</t>
  </si>
  <si>
    <t>P1Q2A</t>
  </si>
  <si>
    <t>P1Q1B</t>
  </si>
  <si>
    <t>P1Q2B</t>
  </si>
  <si>
    <t>P1Q3A</t>
  </si>
  <si>
    <t>P1Q4A</t>
  </si>
  <si>
    <t>P1Q3B</t>
  </si>
  <si>
    <t>P1Q4B</t>
  </si>
  <si>
    <t>P2Q1A</t>
  </si>
  <si>
    <t>P2Q2A</t>
  </si>
  <si>
    <t>P2Q1B</t>
  </si>
  <si>
    <t>P2Q2B</t>
  </si>
  <si>
    <t>L1</t>
  </si>
  <si>
    <t>X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</si>
  <si>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</si>
  <si>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</si>
  <si>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</si>
  <si>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</si>
  <si>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</si>
  <si>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</si>
  <si>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</si>
  <si>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</si>
  <si>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</si>
  <si>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</si>
  <si>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</si>
  <si>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</si>
  <si>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</si>
  <si>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</si>
  <si>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</si>
  <si>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</si>
  <si>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</si>
  <si>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</si>
  <si>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</si>
  <si>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</si>
  <si>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</si>
  <si>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</si>
  <si>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</si>
  <si>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</si>
  <si>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</si>
  <si>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</si>
  <si>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</si>
  <si>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P2Q3A</t>
  </si>
  <si>
    <t>P2Q4A</t>
  </si>
  <si>
    <t>P2Q3B</t>
  </si>
  <si>
    <t>P2Q4B</t>
  </si>
  <si>
    <t>P3Q1A</t>
  </si>
  <si>
    <t>P3Q2A</t>
  </si>
  <si>
    <t>P3Q1B</t>
  </si>
  <si>
    <t>P3Q2B</t>
  </si>
  <si>
    <t>P3Q3A</t>
  </si>
  <si>
    <t>P3Q4A</t>
  </si>
  <si>
    <t>P3Q3B</t>
  </si>
  <si>
    <t>P3Q4B</t>
  </si>
  <si>
    <t>P4Q1A</t>
  </si>
  <si>
    <t>P4Q2A</t>
  </si>
  <si>
    <t>P4Q1B</t>
  </si>
  <si>
    <t>P4Q2B</t>
  </si>
  <si>
    <t>P4Q3A</t>
  </si>
  <si>
    <t>P4Q4A</t>
  </si>
  <si>
    <t>P4Q3B</t>
  </si>
  <si>
    <t>P4Q4B</t>
  </si>
  <si>
    <t>P5Q1A</t>
  </si>
  <si>
    <t>P5Q2A</t>
  </si>
  <si>
    <t>P5Q1B</t>
  </si>
  <si>
    <t>P5Q2B</t>
  </si>
  <si>
    <t>P5Q3A</t>
  </si>
  <si>
    <t>P5Q4A</t>
  </si>
  <si>
    <t>P5Q3B</t>
  </si>
  <si>
    <t>P5Q4B</t>
  </si>
  <si>
    <t>P6Q1A</t>
  </si>
  <si>
    <t>P6Q2A</t>
  </si>
  <si>
    <t>P6Q1B</t>
  </si>
  <si>
    <t>P6Q2B</t>
  </si>
  <si>
    <t>P6Q3A</t>
  </si>
  <si>
    <t>P6Q4A</t>
  </si>
  <si>
    <t>P6Q3B</t>
  </si>
  <si>
    <t>P6Q4B</t>
  </si>
  <si>
    <t>L</t>
  </si>
  <si>
    <t>P</t>
  </si>
  <si>
    <t>Q</t>
  </si>
  <si>
    <t>A</t>
  </si>
  <si>
    <t>B</t>
  </si>
  <si>
    <t>Futher away</t>
  </si>
  <si>
    <t>Died (No data)</t>
  </si>
  <si>
    <t>Panels (1-6)</t>
  </si>
  <si>
    <t>Lettuce (each quadrant has 28 lettuce plants)</t>
  </si>
  <si>
    <t>Blank</t>
  </si>
  <si>
    <t>Different rows had different planting density</t>
  </si>
  <si>
    <t>Lettuce number</t>
  </si>
  <si>
    <t>Run matlab code to determine border plants and see heat map of leaf count</t>
  </si>
  <si>
    <t>Total Plants</t>
  </si>
  <si>
    <t>Total Leaves</t>
  </si>
  <si>
    <t>Quadrant (clockwise from top starting with top left)</t>
  </si>
  <si>
    <t>Near the road (Top - N)</t>
  </si>
  <si>
    <t>KEY</t>
  </si>
  <si>
    <t>Average Leaves
per Plant (2 d.p)</t>
  </si>
  <si>
    <t>Average of Average 
(2 d.p)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</si>
</sst>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theme="0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0" borderId="0" xfId="0" applyFont="1"/>
    <xf numFmtId="0" fontId="5" fillId="4" borderId="6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6" fillId="5" borderId="20" xfId="0" applyFont="1" applyFill="1" applyBorder="1" applyAlignment="1">
      <alignment horizontal="center"/>
    </xf>
    <xf numFmtId="0" fontId="6" fillId="5" borderId="21" xfId="0" applyFont="1" applyFill="1" applyBorder="1" applyAlignment="1">
      <alignment horizontal="center"/>
    </xf>
    <xf numFmtId="0" fontId="6" fillId="5" borderId="22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G33"/>
  <sheetViews>
    <sheetView topLeftCell="A9" zoomScale="106" workbookViewId="0">
      <selection activeCell="D36" sqref="D36"/>
    </sheetView>
  </sheetViews>
  <sheetFormatPr baseColWidth="10" defaultColWidth="12.5" defaultRowHeight="15.75" customHeight="1" x14ac:dyDescent="0.2"/>
  <cols>
    <col min="1" max="1" width="20.83203125" style="33" customWidth="1"/>
    <col min="2" max="16384" width="12.5" style="33"/>
  </cols>
  <sheetData>
    <row r="1" spans="1:59" ht="16" x14ac:dyDescent="0.2">
      <c r="A1" s="8" t="s">
        <v>88</v>
      </c>
      <c r="B1" s="23" t="s">
        <v>0</v>
      </c>
      <c r="C1" s="24" t="s">
        <v>1</v>
      </c>
      <c r="D1" s="24" t="s">
        <v>2</v>
      </c>
      <c r="E1" s="24" t="s">
        <v>3</v>
      </c>
      <c r="F1" s="24" t="s">
        <v>4</v>
      </c>
      <c r="G1" s="24" t="s">
        <v>5</v>
      </c>
      <c r="H1" s="24" t="s">
        <v>6</v>
      </c>
      <c r="I1" s="24" t="s">
        <v>7</v>
      </c>
      <c r="J1" s="24" t="s">
        <v>8</v>
      </c>
      <c r="K1" s="24" t="s">
        <v>9</v>
      </c>
      <c r="L1" s="24" t="s">
        <v>10</v>
      </c>
      <c r="M1" s="24" t="s">
        <v>11</v>
      </c>
      <c r="N1" s="24" t="s">
        <v>41</v>
      </c>
      <c r="O1" s="24" t="s">
        <v>42</v>
      </c>
      <c r="P1" s="24" t="s">
        <v>43</v>
      </c>
      <c r="Q1" s="24" t="s">
        <v>44</v>
      </c>
      <c r="R1" s="24" t="s">
        <v>45</v>
      </c>
      <c r="S1" s="24" t="s">
        <v>46</v>
      </c>
      <c r="T1" s="24" t="s">
        <v>47</v>
      </c>
      <c r="U1" s="24" t="s">
        <v>48</v>
      </c>
      <c r="V1" s="24" t="s">
        <v>49</v>
      </c>
      <c r="W1" s="24" t="s">
        <v>50</v>
      </c>
      <c r="X1" s="24" t="s">
        <v>51</v>
      </c>
      <c r="Y1" s="24" t="s">
        <v>52</v>
      </c>
      <c r="Z1" s="24" t="s">
        <v>53</v>
      </c>
      <c r="AA1" s="24" t="s">
        <v>54</v>
      </c>
      <c r="AB1" s="24" t="s">
        <v>55</v>
      </c>
      <c r="AC1" s="24" t="s">
        <v>56</v>
      </c>
      <c r="AD1" s="24" t="s">
        <v>57</v>
      </c>
      <c r="AE1" s="24" t="s">
        <v>58</v>
      </c>
      <c r="AF1" s="24" t="s">
        <v>59</v>
      </c>
      <c r="AG1" s="24" t="s">
        <v>60</v>
      </c>
      <c r="AH1" s="24" t="s">
        <v>61</v>
      </c>
      <c r="AI1" s="24" t="s">
        <v>62</v>
      </c>
      <c r="AJ1" s="24" t="s">
        <v>63</v>
      </c>
      <c r="AK1" s="24" t="s">
        <v>64</v>
      </c>
      <c r="AL1" s="24" t="s">
        <v>65</v>
      </c>
      <c r="AM1" s="24" t="s">
        <v>66</v>
      </c>
      <c r="AN1" s="24" t="s">
        <v>67</v>
      </c>
      <c r="AO1" s="24" t="s">
        <v>68</v>
      </c>
      <c r="AP1" s="24" t="s">
        <v>69</v>
      </c>
      <c r="AQ1" s="24" t="s">
        <v>70</v>
      </c>
      <c r="AR1" s="24" t="s">
        <v>71</v>
      </c>
      <c r="AS1" s="24" t="s">
        <v>72</v>
      </c>
      <c r="AT1" s="24" t="s">
        <v>73</v>
      </c>
      <c r="AU1" s="24" t="s">
        <v>74</v>
      </c>
      <c r="AV1" s="24" t="s">
        <v>75</v>
      </c>
      <c r="AW1" s="25" t="s">
        <v>76</v>
      </c>
    </row>
    <row r="2" spans="1:59" ht="16" x14ac:dyDescent="0.2">
      <c r="A2" s="9" t="s">
        <v>12</v>
      </c>
      <c r="B2" s="6">
        <v>8</v>
      </c>
      <c r="C2" s="3" t="s">
        <v>13</v>
      </c>
      <c r="D2" s="2">
        <v>9</v>
      </c>
      <c r="E2" s="2">
        <v>8</v>
      </c>
      <c r="F2" s="2">
        <v>6</v>
      </c>
      <c r="G2" s="2">
        <v>8</v>
      </c>
      <c r="H2" s="2">
        <v>9</v>
      </c>
      <c r="I2" s="2">
        <v>8</v>
      </c>
      <c r="J2" s="2">
        <v>9</v>
      </c>
      <c r="K2" s="2">
        <v>6</v>
      </c>
      <c r="L2" s="2">
        <v>8</v>
      </c>
      <c r="M2" s="2">
        <v>8</v>
      </c>
      <c r="N2" s="2">
        <v>7</v>
      </c>
      <c r="O2" s="2">
        <v>7</v>
      </c>
      <c r="P2" s="2">
        <v>8</v>
      </c>
      <c r="Q2" s="2">
        <v>7</v>
      </c>
      <c r="R2" s="2">
        <v>8</v>
      </c>
      <c r="S2" s="2">
        <v>6</v>
      </c>
      <c r="T2" s="2">
        <v>9</v>
      </c>
      <c r="U2" s="2">
        <v>10</v>
      </c>
      <c r="V2" s="2">
        <v>9</v>
      </c>
      <c r="W2" s="2">
        <v>7</v>
      </c>
      <c r="X2" s="2">
        <v>14</v>
      </c>
      <c r="Y2" s="2">
        <v>7</v>
      </c>
      <c r="Z2" s="2">
        <v>8</v>
      </c>
      <c r="AA2" s="2">
        <v>9</v>
      </c>
      <c r="AB2" s="2">
        <v>7</v>
      </c>
      <c r="AC2" s="2">
        <v>7</v>
      </c>
      <c r="AD2" s="2">
        <v>9</v>
      </c>
      <c r="AE2" s="2">
        <v>9</v>
      </c>
      <c r="AF2" s="2">
        <v>9</v>
      </c>
      <c r="AG2" s="2">
        <v>7</v>
      </c>
      <c r="AH2" s="2">
        <v>9</v>
      </c>
      <c r="AI2" s="2">
        <v>7</v>
      </c>
      <c r="AJ2" s="2">
        <v>8</v>
      </c>
      <c r="AK2" s="2">
        <v>7</v>
      </c>
      <c r="AL2" s="2">
        <v>7</v>
      </c>
      <c r="AM2" s="2">
        <v>10</v>
      </c>
      <c r="AN2" s="2">
        <v>8</v>
      </c>
      <c r="AO2" s="2">
        <v>7</v>
      </c>
      <c r="AP2" s="2">
        <v>8</v>
      </c>
      <c r="AQ2" s="2">
        <v>7</v>
      </c>
      <c r="AR2" s="2">
        <v>8</v>
      </c>
      <c r="AS2" s="2">
        <v>6</v>
      </c>
      <c r="AT2" s="2">
        <v>8</v>
      </c>
      <c r="AU2" s="2">
        <v>6</v>
      </c>
      <c r="AV2" s="2">
        <v>7</v>
      </c>
      <c r="AW2" s="26">
        <v>7</v>
      </c>
    </row>
    <row r="3" spans="1:59" ht="16" x14ac:dyDescent="0.2">
      <c r="A3" s="9" t="s">
        <v>14</v>
      </c>
      <c r="B3" s="6">
        <v>8</v>
      </c>
      <c r="C3" s="3" t="s">
        <v>13</v>
      </c>
      <c r="D3" s="2">
        <v>8</v>
      </c>
      <c r="E3" s="2">
        <v>7</v>
      </c>
      <c r="F3" s="2">
        <v>6</v>
      </c>
      <c r="G3" s="2">
        <v>7</v>
      </c>
      <c r="H3" s="2">
        <v>9</v>
      </c>
      <c r="I3" s="2">
        <v>8</v>
      </c>
      <c r="J3" s="2">
        <v>8</v>
      </c>
      <c r="K3" s="2">
        <v>8</v>
      </c>
      <c r="L3" s="2">
        <v>8</v>
      </c>
      <c r="M3" s="2">
        <v>6</v>
      </c>
      <c r="N3" s="2">
        <v>9</v>
      </c>
      <c r="O3" s="2">
        <v>9</v>
      </c>
      <c r="P3" s="2">
        <v>8</v>
      </c>
      <c r="Q3" s="2">
        <v>8</v>
      </c>
      <c r="R3" s="2">
        <v>9</v>
      </c>
      <c r="S3" s="2">
        <v>7</v>
      </c>
      <c r="T3" s="2">
        <v>8</v>
      </c>
      <c r="U3" s="2">
        <v>7</v>
      </c>
      <c r="V3" s="2">
        <v>7</v>
      </c>
      <c r="W3" s="2">
        <v>10</v>
      </c>
      <c r="X3" s="2">
        <v>8</v>
      </c>
      <c r="Y3" s="2">
        <v>10</v>
      </c>
      <c r="Z3" s="2">
        <v>9</v>
      </c>
      <c r="AA3" s="2">
        <v>8</v>
      </c>
      <c r="AB3" s="2">
        <v>7</v>
      </c>
      <c r="AC3" s="2">
        <v>8</v>
      </c>
      <c r="AD3" s="2">
        <v>7</v>
      </c>
      <c r="AE3" s="2">
        <v>7</v>
      </c>
      <c r="AF3" s="2">
        <v>8</v>
      </c>
      <c r="AG3" s="2">
        <v>7</v>
      </c>
      <c r="AH3" s="2">
        <v>6</v>
      </c>
      <c r="AI3" s="2">
        <v>8</v>
      </c>
      <c r="AJ3" s="2">
        <v>8</v>
      </c>
      <c r="AK3" s="2">
        <v>9</v>
      </c>
      <c r="AL3" s="2">
        <v>6</v>
      </c>
      <c r="AM3" s="2">
        <v>9</v>
      </c>
      <c r="AN3" s="2">
        <v>7</v>
      </c>
      <c r="AO3" s="2">
        <v>8</v>
      </c>
      <c r="AP3" s="2">
        <v>8</v>
      </c>
      <c r="AQ3" s="2">
        <v>10</v>
      </c>
      <c r="AR3" s="2">
        <v>8</v>
      </c>
      <c r="AS3" s="3" t="s">
        <v>13</v>
      </c>
      <c r="AT3" s="2">
        <v>9</v>
      </c>
      <c r="AU3" s="3" t="s">
        <v>13</v>
      </c>
      <c r="AV3" s="2">
        <v>6</v>
      </c>
      <c r="AW3" s="26">
        <v>6</v>
      </c>
    </row>
    <row r="4" spans="1:59" ht="16" x14ac:dyDescent="0.2">
      <c r="A4" s="9" t="s">
        <v>15</v>
      </c>
      <c r="B4" s="6">
        <v>9</v>
      </c>
      <c r="C4" s="2">
        <v>9</v>
      </c>
      <c r="D4" s="2">
        <v>9</v>
      </c>
      <c r="E4" s="2">
        <v>9</v>
      </c>
      <c r="F4" s="2">
        <v>8</v>
      </c>
      <c r="G4" s="2">
        <v>9</v>
      </c>
      <c r="H4" s="2">
        <v>6</v>
      </c>
      <c r="I4" s="2">
        <v>8</v>
      </c>
      <c r="J4" s="2">
        <v>7</v>
      </c>
      <c r="K4" s="2">
        <v>6</v>
      </c>
      <c r="L4" s="2">
        <v>9</v>
      </c>
      <c r="M4" s="2">
        <v>8</v>
      </c>
      <c r="N4" s="2">
        <v>7</v>
      </c>
      <c r="O4" s="2">
        <v>7</v>
      </c>
      <c r="P4" s="2">
        <v>8</v>
      </c>
      <c r="Q4" s="2">
        <v>9</v>
      </c>
      <c r="R4" s="2">
        <v>8</v>
      </c>
      <c r="S4" s="2">
        <v>6</v>
      </c>
      <c r="T4" s="2">
        <v>8</v>
      </c>
      <c r="U4" s="2">
        <v>9</v>
      </c>
      <c r="V4" s="2">
        <v>7</v>
      </c>
      <c r="W4" s="2">
        <v>8</v>
      </c>
      <c r="X4" s="2">
        <v>9</v>
      </c>
      <c r="Y4" s="2">
        <v>8</v>
      </c>
      <c r="Z4" s="2">
        <v>9</v>
      </c>
      <c r="AA4" s="2">
        <v>8</v>
      </c>
      <c r="AB4" s="2">
        <v>7</v>
      </c>
      <c r="AC4" s="3" t="s">
        <v>13</v>
      </c>
      <c r="AD4" s="2">
        <v>8</v>
      </c>
      <c r="AE4" s="2">
        <v>8</v>
      </c>
      <c r="AF4" s="2">
        <v>8</v>
      </c>
      <c r="AG4" s="2">
        <v>8</v>
      </c>
      <c r="AH4" s="2">
        <v>8</v>
      </c>
      <c r="AI4" s="2">
        <v>9</v>
      </c>
      <c r="AJ4" s="2">
        <v>9</v>
      </c>
      <c r="AK4" s="2">
        <v>8</v>
      </c>
      <c r="AL4" s="2">
        <v>8</v>
      </c>
      <c r="AM4" s="2">
        <v>8</v>
      </c>
      <c r="AN4" s="2">
        <v>8</v>
      </c>
      <c r="AO4" s="2">
        <v>7</v>
      </c>
      <c r="AP4" s="3" t="s">
        <v>13</v>
      </c>
      <c r="AQ4" s="2">
        <v>8</v>
      </c>
      <c r="AR4" s="2">
        <v>7</v>
      </c>
      <c r="AS4" s="2">
        <v>8</v>
      </c>
      <c r="AT4" s="2">
        <v>7</v>
      </c>
      <c r="AU4" s="2">
        <v>8</v>
      </c>
      <c r="AV4" s="2">
        <v>7</v>
      </c>
      <c r="AW4" s="26">
        <v>8</v>
      </c>
    </row>
    <row r="5" spans="1:59" ht="16" x14ac:dyDescent="0.2">
      <c r="A5" s="9" t="s">
        <v>16</v>
      </c>
      <c r="B5" s="6">
        <v>6</v>
      </c>
      <c r="C5" s="2">
        <v>5</v>
      </c>
      <c r="D5" s="2">
        <v>8</v>
      </c>
      <c r="E5" s="2">
        <v>8</v>
      </c>
      <c r="F5" s="2">
        <v>6</v>
      </c>
      <c r="G5" s="2">
        <v>9</v>
      </c>
      <c r="H5" s="2">
        <v>8</v>
      </c>
      <c r="I5" s="2">
        <v>10</v>
      </c>
      <c r="J5" s="2">
        <v>7</v>
      </c>
      <c r="K5" s="2">
        <v>8</v>
      </c>
      <c r="L5" s="2">
        <v>7</v>
      </c>
      <c r="M5" s="2">
        <v>9</v>
      </c>
      <c r="N5" s="2">
        <v>8</v>
      </c>
      <c r="O5" s="2">
        <v>8</v>
      </c>
      <c r="P5" s="2">
        <v>8</v>
      </c>
      <c r="Q5" s="2">
        <v>9</v>
      </c>
      <c r="R5" s="2">
        <v>9</v>
      </c>
      <c r="S5" s="2">
        <v>8</v>
      </c>
      <c r="T5" s="2">
        <v>8</v>
      </c>
      <c r="U5" s="2">
        <v>8</v>
      </c>
      <c r="V5" s="2">
        <v>3</v>
      </c>
      <c r="W5" s="2">
        <v>9</v>
      </c>
      <c r="X5" s="3" t="s">
        <v>13</v>
      </c>
      <c r="Y5" s="2">
        <v>9</v>
      </c>
      <c r="Z5" s="2">
        <v>8</v>
      </c>
      <c r="AA5" s="2">
        <v>8</v>
      </c>
      <c r="AB5" s="2">
        <v>7</v>
      </c>
      <c r="AC5" s="2">
        <v>8</v>
      </c>
      <c r="AD5" s="2">
        <v>9</v>
      </c>
      <c r="AE5" s="2">
        <v>8</v>
      </c>
      <c r="AF5" s="2">
        <v>9</v>
      </c>
      <c r="AG5" s="2">
        <v>8</v>
      </c>
      <c r="AH5" s="2">
        <v>8</v>
      </c>
      <c r="AI5" s="2">
        <v>7</v>
      </c>
      <c r="AJ5" s="2">
        <v>8</v>
      </c>
      <c r="AK5" s="2">
        <v>8</v>
      </c>
      <c r="AL5" s="2">
        <v>8</v>
      </c>
      <c r="AM5" s="3" t="s">
        <v>13</v>
      </c>
      <c r="AN5" s="2">
        <v>6</v>
      </c>
      <c r="AO5" s="2">
        <v>9</v>
      </c>
      <c r="AP5" s="2">
        <v>9</v>
      </c>
      <c r="AQ5" s="2">
        <v>9</v>
      </c>
      <c r="AR5" s="2">
        <v>7</v>
      </c>
      <c r="AS5" s="3" t="s">
        <v>13</v>
      </c>
      <c r="AT5" s="2">
        <v>7</v>
      </c>
      <c r="AU5" s="2">
        <v>8</v>
      </c>
      <c r="AV5" s="2">
        <v>8</v>
      </c>
      <c r="AW5" s="26">
        <v>7</v>
      </c>
    </row>
    <row r="6" spans="1:59" ht="16" x14ac:dyDescent="0.2">
      <c r="A6" s="9" t="s">
        <v>17</v>
      </c>
      <c r="B6" s="6">
        <v>7</v>
      </c>
      <c r="C6" s="2">
        <v>8</v>
      </c>
      <c r="D6" s="2">
        <v>9</v>
      </c>
      <c r="E6" s="2">
        <v>9</v>
      </c>
      <c r="F6" s="2">
        <v>5</v>
      </c>
      <c r="G6" s="2">
        <v>5</v>
      </c>
      <c r="H6" s="2">
        <v>10</v>
      </c>
      <c r="I6" s="2">
        <v>7</v>
      </c>
      <c r="J6" s="2">
        <v>9</v>
      </c>
      <c r="K6" s="2">
        <v>9</v>
      </c>
      <c r="L6" s="2">
        <v>7</v>
      </c>
      <c r="M6" s="2">
        <v>9</v>
      </c>
      <c r="N6" s="2">
        <v>8</v>
      </c>
      <c r="O6" s="2">
        <v>8</v>
      </c>
      <c r="P6" s="2">
        <v>8</v>
      </c>
      <c r="Q6" s="3" t="s">
        <v>13</v>
      </c>
      <c r="R6" s="2">
        <v>8</v>
      </c>
      <c r="S6" s="2">
        <v>6</v>
      </c>
      <c r="T6" s="2">
        <v>7</v>
      </c>
      <c r="U6" s="2">
        <v>7</v>
      </c>
      <c r="V6" s="2">
        <v>9</v>
      </c>
      <c r="W6" s="2">
        <v>7</v>
      </c>
      <c r="X6" s="2">
        <v>9</v>
      </c>
      <c r="Y6" s="2">
        <v>7</v>
      </c>
      <c r="Z6" s="2">
        <v>8</v>
      </c>
      <c r="AA6" s="2">
        <v>9</v>
      </c>
      <c r="AB6" s="2">
        <v>8</v>
      </c>
      <c r="AC6" s="2">
        <v>7</v>
      </c>
      <c r="AD6" s="2">
        <v>6</v>
      </c>
      <c r="AE6" s="2">
        <v>9</v>
      </c>
      <c r="AF6" s="2">
        <v>9</v>
      </c>
      <c r="AG6" s="2">
        <v>8</v>
      </c>
      <c r="AH6" s="2">
        <v>10</v>
      </c>
      <c r="AI6" s="2">
        <v>8</v>
      </c>
      <c r="AJ6" s="2">
        <v>9</v>
      </c>
      <c r="AK6" s="2">
        <v>9</v>
      </c>
      <c r="AL6" s="2">
        <v>8</v>
      </c>
      <c r="AM6" s="2">
        <v>9</v>
      </c>
      <c r="AN6" s="2">
        <v>7</v>
      </c>
      <c r="AO6" s="2">
        <v>8</v>
      </c>
      <c r="AP6" s="2">
        <v>7</v>
      </c>
      <c r="AQ6" s="2">
        <v>6</v>
      </c>
      <c r="AR6" s="2">
        <v>7</v>
      </c>
      <c r="AS6" s="2">
        <v>7</v>
      </c>
      <c r="AT6" s="2">
        <v>7</v>
      </c>
      <c r="AU6" s="2">
        <v>8</v>
      </c>
      <c r="AV6" s="2">
        <v>7</v>
      </c>
      <c r="AW6" s="26">
        <v>7</v>
      </c>
    </row>
    <row r="7" spans="1:59" ht="16" x14ac:dyDescent="0.2">
      <c r="A7" s="9" t="s">
        <v>18</v>
      </c>
      <c r="B7" s="6">
        <v>8</v>
      </c>
      <c r="C7" s="3" t="s">
        <v>13</v>
      </c>
      <c r="D7" s="2">
        <v>7</v>
      </c>
      <c r="E7" s="2">
        <v>8</v>
      </c>
      <c r="F7" s="2">
        <v>7</v>
      </c>
      <c r="G7" s="2">
        <v>8</v>
      </c>
      <c r="H7" s="2">
        <v>7</v>
      </c>
      <c r="I7" s="2">
        <v>8</v>
      </c>
      <c r="J7" s="2">
        <v>7</v>
      </c>
      <c r="K7" s="2">
        <v>8</v>
      </c>
      <c r="L7" s="2">
        <v>7</v>
      </c>
      <c r="M7" s="2">
        <v>8</v>
      </c>
      <c r="N7" s="2">
        <v>8</v>
      </c>
      <c r="O7" s="2">
        <v>9</v>
      </c>
      <c r="P7" s="2">
        <v>8</v>
      </c>
      <c r="Q7" s="2">
        <v>8</v>
      </c>
      <c r="R7" s="2">
        <v>9</v>
      </c>
      <c r="S7" s="2">
        <v>7</v>
      </c>
      <c r="T7" s="2">
        <v>8</v>
      </c>
      <c r="U7" s="2">
        <v>9</v>
      </c>
      <c r="V7" s="2">
        <v>7</v>
      </c>
      <c r="W7" s="2">
        <v>10</v>
      </c>
      <c r="X7" s="2">
        <v>8</v>
      </c>
      <c r="Y7" s="2">
        <v>10</v>
      </c>
      <c r="Z7" s="2">
        <v>8</v>
      </c>
      <c r="AA7" s="2">
        <v>7</v>
      </c>
      <c r="AB7" s="2">
        <v>8</v>
      </c>
      <c r="AC7" s="2">
        <v>9</v>
      </c>
      <c r="AD7" s="2">
        <v>9</v>
      </c>
      <c r="AE7" s="2">
        <v>8</v>
      </c>
      <c r="AF7" s="2">
        <v>9</v>
      </c>
      <c r="AG7" s="2">
        <v>8</v>
      </c>
      <c r="AH7" s="2">
        <v>6</v>
      </c>
      <c r="AI7" s="2">
        <v>9</v>
      </c>
      <c r="AJ7" s="3" t="s">
        <v>13</v>
      </c>
      <c r="AK7" s="2">
        <v>7</v>
      </c>
      <c r="AL7" s="2">
        <v>8</v>
      </c>
      <c r="AM7" s="3" t="s">
        <v>13</v>
      </c>
      <c r="AN7" s="2">
        <v>7</v>
      </c>
      <c r="AO7" s="2">
        <v>8</v>
      </c>
      <c r="AP7" s="2">
        <v>8</v>
      </c>
      <c r="AQ7" s="2">
        <v>9</v>
      </c>
      <c r="AR7" s="2">
        <v>7</v>
      </c>
      <c r="AS7" s="3" t="s">
        <v>13</v>
      </c>
      <c r="AT7" s="2">
        <v>8</v>
      </c>
      <c r="AU7" s="3" t="s">
        <v>13</v>
      </c>
      <c r="AV7" s="2">
        <v>8</v>
      </c>
      <c r="AW7" s="26">
        <v>8</v>
      </c>
    </row>
    <row r="8" spans="1:59" ht="17" thickBot="1" x14ac:dyDescent="0.25">
      <c r="A8" s="9" t="s">
        <v>19</v>
      </c>
      <c r="B8" s="6">
        <v>7</v>
      </c>
      <c r="C8" s="2">
        <v>8</v>
      </c>
      <c r="D8" s="2">
        <v>8</v>
      </c>
      <c r="E8" s="2">
        <v>8</v>
      </c>
      <c r="F8" s="2">
        <v>8</v>
      </c>
      <c r="G8" s="2">
        <v>8</v>
      </c>
      <c r="H8" s="2">
        <v>9</v>
      </c>
      <c r="I8" s="2">
        <v>9</v>
      </c>
      <c r="J8" s="2">
        <v>8</v>
      </c>
      <c r="K8" s="2">
        <v>8</v>
      </c>
      <c r="L8" s="2">
        <v>8</v>
      </c>
      <c r="M8" s="2">
        <v>8</v>
      </c>
      <c r="N8" s="2">
        <v>7</v>
      </c>
      <c r="O8" s="2">
        <v>8</v>
      </c>
      <c r="P8" s="2">
        <v>9</v>
      </c>
      <c r="Q8" s="2">
        <v>7</v>
      </c>
      <c r="R8" s="2">
        <v>5</v>
      </c>
      <c r="S8" s="2">
        <v>8</v>
      </c>
      <c r="T8" s="2">
        <v>8</v>
      </c>
      <c r="U8" s="2">
        <v>8</v>
      </c>
      <c r="V8" s="2">
        <v>7</v>
      </c>
      <c r="W8" s="2">
        <v>8</v>
      </c>
      <c r="X8" s="2">
        <v>7</v>
      </c>
      <c r="Y8" s="2">
        <v>8</v>
      </c>
      <c r="Z8" s="2">
        <v>9</v>
      </c>
      <c r="AA8" s="2">
        <v>9</v>
      </c>
      <c r="AB8" s="2">
        <v>8</v>
      </c>
      <c r="AC8" s="3" t="s">
        <v>13</v>
      </c>
      <c r="AD8" s="2">
        <v>8</v>
      </c>
      <c r="AE8" s="2">
        <v>7</v>
      </c>
      <c r="AF8" s="2">
        <v>9</v>
      </c>
      <c r="AG8" s="2">
        <v>9</v>
      </c>
      <c r="AH8" s="2">
        <v>9</v>
      </c>
      <c r="AI8" s="2">
        <v>8</v>
      </c>
      <c r="AJ8" s="2">
        <v>7</v>
      </c>
      <c r="AK8" s="2">
        <v>7</v>
      </c>
      <c r="AL8" s="2">
        <v>8</v>
      </c>
      <c r="AM8" s="2">
        <v>10</v>
      </c>
      <c r="AN8" s="2">
        <v>6</v>
      </c>
      <c r="AO8" s="2">
        <v>8</v>
      </c>
      <c r="AP8" s="2">
        <v>9</v>
      </c>
      <c r="AQ8" s="2">
        <v>8</v>
      </c>
      <c r="AR8" s="2">
        <v>7</v>
      </c>
      <c r="AS8" s="2">
        <v>9</v>
      </c>
      <c r="AT8" s="2">
        <v>8</v>
      </c>
      <c r="AU8" s="2">
        <v>8</v>
      </c>
      <c r="AV8" s="2">
        <v>7</v>
      </c>
      <c r="AW8" s="26">
        <v>8</v>
      </c>
      <c r="BA8" s="46"/>
      <c r="BB8" s="46"/>
      <c r="BC8" s="46"/>
      <c r="BD8" s="46"/>
      <c r="BE8" s="46"/>
      <c r="BF8" s="46"/>
      <c r="BG8" s="46"/>
    </row>
    <row r="9" spans="1:59" ht="17" thickBot="1" x14ac:dyDescent="0.25">
      <c r="A9" s="9" t="s">
        <v>20</v>
      </c>
      <c r="B9" s="6">
        <v>7</v>
      </c>
      <c r="C9" s="3" t="s">
        <v>13</v>
      </c>
      <c r="D9" s="2">
        <v>10</v>
      </c>
      <c r="E9" s="2">
        <v>8</v>
      </c>
      <c r="F9" s="2">
        <v>7</v>
      </c>
      <c r="G9" s="2">
        <v>9</v>
      </c>
      <c r="H9" s="2">
        <v>6</v>
      </c>
      <c r="I9" s="2">
        <v>9</v>
      </c>
      <c r="J9" s="2">
        <v>7</v>
      </c>
      <c r="K9" s="2">
        <v>8</v>
      </c>
      <c r="L9" s="2">
        <v>8</v>
      </c>
      <c r="M9" s="2">
        <v>7</v>
      </c>
      <c r="N9" s="2">
        <v>9</v>
      </c>
      <c r="O9" s="2">
        <v>8</v>
      </c>
      <c r="P9" s="2">
        <v>8</v>
      </c>
      <c r="Q9" s="2">
        <v>8</v>
      </c>
      <c r="R9" s="2">
        <v>7</v>
      </c>
      <c r="S9" s="2">
        <v>7</v>
      </c>
      <c r="T9" s="2">
        <v>9</v>
      </c>
      <c r="U9" s="2">
        <v>7</v>
      </c>
      <c r="V9" s="2">
        <v>8</v>
      </c>
      <c r="W9" s="2">
        <v>8</v>
      </c>
      <c r="X9" s="3" t="s">
        <v>13</v>
      </c>
      <c r="Y9" s="2">
        <v>8</v>
      </c>
      <c r="Z9" s="2">
        <v>8</v>
      </c>
      <c r="AA9" s="2">
        <v>7</v>
      </c>
      <c r="AB9" s="2">
        <v>9</v>
      </c>
      <c r="AC9" s="2">
        <v>8</v>
      </c>
      <c r="AD9" s="2">
        <v>9</v>
      </c>
      <c r="AE9" s="2">
        <v>8</v>
      </c>
      <c r="AF9" s="2">
        <v>9</v>
      </c>
      <c r="AG9" s="2">
        <v>7</v>
      </c>
      <c r="AH9" s="2">
        <v>8</v>
      </c>
      <c r="AI9" s="2">
        <v>8</v>
      </c>
      <c r="AJ9" s="3" t="s">
        <v>13</v>
      </c>
      <c r="AK9" s="2">
        <v>8</v>
      </c>
      <c r="AL9" s="2">
        <v>7</v>
      </c>
      <c r="AM9" s="3" t="s">
        <v>13</v>
      </c>
      <c r="AN9" s="2">
        <v>6</v>
      </c>
      <c r="AO9" s="2">
        <v>8</v>
      </c>
      <c r="AP9" s="2">
        <v>8</v>
      </c>
      <c r="AQ9" s="2">
        <v>8</v>
      </c>
      <c r="AR9" s="3" t="s">
        <v>13</v>
      </c>
      <c r="AS9" s="3" t="s">
        <v>13</v>
      </c>
      <c r="AT9" s="2">
        <v>8</v>
      </c>
      <c r="AU9" s="3" t="s">
        <v>13</v>
      </c>
      <c r="AV9" s="2">
        <v>9</v>
      </c>
      <c r="AW9" s="26">
        <v>8</v>
      </c>
      <c r="BA9" s="54" t="s">
        <v>94</v>
      </c>
      <c r="BB9" s="55"/>
      <c r="BC9" s="55"/>
      <c r="BD9" s="55"/>
      <c r="BE9" s="55"/>
      <c r="BF9" s="56"/>
      <c r="BG9" s="46"/>
    </row>
    <row r="10" spans="1:59" ht="16" x14ac:dyDescent="0.2">
      <c r="A10" s="9" t="s">
        <v>21</v>
      </c>
      <c r="B10" s="6">
        <v>7</v>
      </c>
      <c r="C10" s="2">
        <v>8</v>
      </c>
      <c r="D10" s="2">
        <v>7</v>
      </c>
      <c r="E10" s="2">
        <v>9</v>
      </c>
      <c r="F10" s="2">
        <v>8</v>
      </c>
      <c r="G10" s="2">
        <v>9</v>
      </c>
      <c r="H10" s="2">
        <v>9</v>
      </c>
      <c r="I10" s="2">
        <v>8</v>
      </c>
      <c r="J10" s="2">
        <v>7</v>
      </c>
      <c r="K10" s="2">
        <v>8</v>
      </c>
      <c r="L10" s="2">
        <v>8</v>
      </c>
      <c r="M10" s="2">
        <v>8</v>
      </c>
      <c r="N10" s="2">
        <v>8</v>
      </c>
      <c r="O10" s="2">
        <v>6</v>
      </c>
      <c r="P10" s="2">
        <v>7</v>
      </c>
      <c r="Q10" s="3" t="s">
        <v>13</v>
      </c>
      <c r="R10" s="2">
        <v>9</v>
      </c>
      <c r="S10" s="2">
        <v>7</v>
      </c>
      <c r="T10" s="2">
        <v>9</v>
      </c>
      <c r="U10" s="2">
        <v>8</v>
      </c>
      <c r="V10" s="3" t="s">
        <v>13</v>
      </c>
      <c r="W10" s="2">
        <v>9</v>
      </c>
      <c r="X10" s="2">
        <v>5</v>
      </c>
      <c r="Y10" s="2">
        <v>9</v>
      </c>
      <c r="Z10" s="2">
        <v>7</v>
      </c>
      <c r="AA10" s="2">
        <v>10</v>
      </c>
      <c r="AB10" s="2">
        <v>8</v>
      </c>
      <c r="AC10" s="2">
        <v>7</v>
      </c>
      <c r="AD10" s="2">
        <v>9</v>
      </c>
      <c r="AE10" s="2">
        <v>10</v>
      </c>
      <c r="AF10" s="2">
        <v>7</v>
      </c>
      <c r="AG10" s="2">
        <v>8</v>
      </c>
      <c r="AH10" s="2">
        <v>8</v>
      </c>
      <c r="AI10" s="2">
        <v>8</v>
      </c>
      <c r="AJ10" s="2">
        <v>8</v>
      </c>
      <c r="AK10" s="2">
        <v>10</v>
      </c>
      <c r="AL10" s="2">
        <v>8</v>
      </c>
      <c r="AM10" s="2">
        <v>8</v>
      </c>
      <c r="AN10" s="2">
        <v>8</v>
      </c>
      <c r="AO10" s="2">
        <v>7</v>
      </c>
      <c r="AP10" s="3" t="s">
        <v>13</v>
      </c>
      <c r="AQ10" s="2">
        <v>10</v>
      </c>
      <c r="AR10" s="2">
        <v>9</v>
      </c>
      <c r="AS10" s="2">
        <v>8</v>
      </c>
      <c r="AT10" s="2">
        <v>7</v>
      </c>
      <c r="AU10" s="2">
        <v>8</v>
      </c>
      <c r="AV10" s="2">
        <v>8</v>
      </c>
      <c r="AW10" s="26">
        <v>6</v>
      </c>
      <c r="BA10" s="49" t="s">
        <v>77</v>
      </c>
      <c r="BB10" s="47" t="s">
        <v>85</v>
      </c>
      <c r="BC10" s="47"/>
      <c r="BD10" s="47"/>
      <c r="BE10" s="47"/>
      <c r="BF10" s="48"/>
      <c r="BG10" s="46"/>
    </row>
    <row r="11" spans="1:59" ht="16" x14ac:dyDescent="0.2">
      <c r="A11" s="9" t="s">
        <v>22</v>
      </c>
      <c r="B11" s="30" t="s">
        <v>13</v>
      </c>
      <c r="C11" s="3" t="s">
        <v>13</v>
      </c>
      <c r="D11" s="2">
        <v>8</v>
      </c>
      <c r="E11" s="2">
        <v>8</v>
      </c>
      <c r="F11" s="2">
        <v>7</v>
      </c>
      <c r="G11" s="2">
        <v>8</v>
      </c>
      <c r="H11" s="2">
        <v>8</v>
      </c>
      <c r="I11" s="2">
        <v>8</v>
      </c>
      <c r="J11" s="2">
        <v>8</v>
      </c>
      <c r="K11" s="2">
        <v>8</v>
      </c>
      <c r="L11" s="2">
        <v>8</v>
      </c>
      <c r="M11" s="2">
        <v>7</v>
      </c>
      <c r="N11" s="2">
        <v>8</v>
      </c>
      <c r="O11" s="2">
        <v>8</v>
      </c>
      <c r="P11" s="2">
        <v>7</v>
      </c>
      <c r="Q11" s="2">
        <v>7</v>
      </c>
      <c r="R11" s="2">
        <v>7</v>
      </c>
      <c r="S11" s="2">
        <v>8</v>
      </c>
      <c r="T11" s="2">
        <v>8</v>
      </c>
      <c r="U11" s="2">
        <v>9</v>
      </c>
      <c r="V11" s="2">
        <v>8</v>
      </c>
      <c r="W11" s="2">
        <v>8</v>
      </c>
      <c r="X11" s="2">
        <v>8</v>
      </c>
      <c r="Y11" s="2">
        <v>8</v>
      </c>
      <c r="Z11" s="2">
        <v>9</v>
      </c>
      <c r="AA11" s="2">
        <v>7</v>
      </c>
      <c r="AB11" s="2">
        <v>8</v>
      </c>
      <c r="AC11" s="2">
        <v>9</v>
      </c>
      <c r="AD11" s="2">
        <v>7</v>
      </c>
      <c r="AE11" s="2">
        <v>8</v>
      </c>
      <c r="AF11" s="2">
        <v>8</v>
      </c>
      <c r="AG11" s="2">
        <v>8</v>
      </c>
      <c r="AH11" s="2">
        <v>9</v>
      </c>
      <c r="AI11" s="2">
        <v>10</v>
      </c>
      <c r="AJ11" s="2">
        <v>6</v>
      </c>
      <c r="AK11" s="2">
        <v>8</v>
      </c>
      <c r="AL11" s="2">
        <v>9</v>
      </c>
      <c r="AM11" s="2">
        <v>9</v>
      </c>
      <c r="AN11" s="2">
        <v>7</v>
      </c>
      <c r="AO11" s="2">
        <v>8</v>
      </c>
      <c r="AP11" s="2">
        <v>10</v>
      </c>
      <c r="AQ11" s="2">
        <v>9</v>
      </c>
      <c r="AR11" s="2">
        <v>8</v>
      </c>
      <c r="AS11" s="3" t="s">
        <v>13</v>
      </c>
      <c r="AT11" s="2">
        <v>8</v>
      </c>
      <c r="AU11" s="2">
        <v>6</v>
      </c>
      <c r="AV11" s="2">
        <v>7</v>
      </c>
      <c r="AW11" s="26">
        <v>6</v>
      </c>
      <c r="BA11" s="49" t="s">
        <v>78</v>
      </c>
      <c r="BB11" s="47" t="s">
        <v>84</v>
      </c>
      <c r="BC11" s="47"/>
      <c r="BD11" s="47"/>
      <c r="BE11" s="47"/>
      <c r="BF11" s="48"/>
      <c r="BG11" s="46"/>
    </row>
    <row r="12" spans="1:59" ht="16" x14ac:dyDescent="0.2">
      <c r="A12" s="9" t="s">
        <v>23</v>
      </c>
      <c r="B12" s="6">
        <v>7</v>
      </c>
      <c r="C12" s="2">
        <v>7</v>
      </c>
      <c r="D12" s="2">
        <v>8</v>
      </c>
      <c r="E12" s="2">
        <v>9</v>
      </c>
      <c r="F12" s="2">
        <v>9</v>
      </c>
      <c r="G12" s="2">
        <v>8</v>
      </c>
      <c r="H12" s="2">
        <v>9</v>
      </c>
      <c r="I12" s="2">
        <v>8</v>
      </c>
      <c r="J12" s="2">
        <v>9</v>
      </c>
      <c r="K12" s="2">
        <v>8</v>
      </c>
      <c r="L12" s="2">
        <v>8</v>
      </c>
      <c r="M12" s="2">
        <v>8</v>
      </c>
      <c r="N12" s="2">
        <v>8</v>
      </c>
      <c r="O12" s="2">
        <v>8</v>
      </c>
      <c r="P12" s="2">
        <v>7</v>
      </c>
      <c r="Q12" s="3" t="s">
        <v>13</v>
      </c>
      <c r="R12" s="2">
        <v>6</v>
      </c>
      <c r="S12" s="2">
        <v>7</v>
      </c>
      <c r="T12" s="2">
        <v>8</v>
      </c>
      <c r="U12" s="2">
        <v>9</v>
      </c>
      <c r="V12" s="2">
        <v>8</v>
      </c>
      <c r="W12" s="2">
        <v>7</v>
      </c>
      <c r="X12" s="2">
        <v>8</v>
      </c>
      <c r="Y12" s="2">
        <v>7</v>
      </c>
      <c r="Z12" s="2">
        <v>9</v>
      </c>
      <c r="AA12" s="2">
        <v>7</v>
      </c>
      <c r="AB12" s="2">
        <v>9</v>
      </c>
      <c r="AC12" s="2">
        <v>9</v>
      </c>
      <c r="AD12" s="2">
        <v>7</v>
      </c>
      <c r="AE12" s="2">
        <v>8</v>
      </c>
      <c r="AF12" s="2">
        <v>8</v>
      </c>
      <c r="AG12" s="2">
        <v>8</v>
      </c>
      <c r="AH12" s="2">
        <v>8</v>
      </c>
      <c r="AI12" s="2">
        <v>8</v>
      </c>
      <c r="AJ12" s="2">
        <v>7</v>
      </c>
      <c r="AK12" s="2">
        <v>8</v>
      </c>
      <c r="AL12" s="2">
        <v>8</v>
      </c>
      <c r="AM12" s="2">
        <v>9</v>
      </c>
      <c r="AN12" s="2">
        <v>6</v>
      </c>
      <c r="AO12" s="2">
        <v>6</v>
      </c>
      <c r="AP12" s="3" t="s">
        <v>13</v>
      </c>
      <c r="AQ12" s="2">
        <v>8</v>
      </c>
      <c r="AR12" s="2">
        <v>4</v>
      </c>
      <c r="AS12" s="2">
        <v>9</v>
      </c>
      <c r="AT12" s="2">
        <v>5</v>
      </c>
      <c r="AU12" s="2">
        <v>8</v>
      </c>
      <c r="AV12" s="2">
        <v>9</v>
      </c>
      <c r="AW12" s="26">
        <v>9</v>
      </c>
      <c r="BA12" s="49" t="s">
        <v>79</v>
      </c>
      <c r="BB12" s="47" t="s">
        <v>92</v>
      </c>
      <c r="BC12" s="47"/>
      <c r="BD12" s="47"/>
      <c r="BE12" s="47"/>
      <c r="BF12" s="48"/>
      <c r="BG12" s="46"/>
    </row>
    <row r="13" spans="1:59" ht="16" x14ac:dyDescent="0.2">
      <c r="A13" s="9" t="s">
        <v>24</v>
      </c>
      <c r="B13" s="30" t="s">
        <v>13</v>
      </c>
      <c r="C13" s="2">
        <v>7</v>
      </c>
      <c r="D13" s="2">
        <v>8</v>
      </c>
      <c r="E13" s="2">
        <v>8</v>
      </c>
      <c r="F13" s="2">
        <v>8</v>
      </c>
      <c r="G13" s="2">
        <v>9</v>
      </c>
      <c r="H13" s="2">
        <v>10</v>
      </c>
      <c r="I13" s="2">
        <v>7</v>
      </c>
      <c r="J13" s="2">
        <v>8</v>
      </c>
      <c r="K13" s="2">
        <v>10</v>
      </c>
      <c r="L13" s="2">
        <v>8</v>
      </c>
      <c r="M13" s="2">
        <v>8</v>
      </c>
      <c r="N13" s="2">
        <v>7</v>
      </c>
      <c r="O13" s="2">
        <v>8</v>
      </c>
      <c r="P13" s="2">
        <v>7</v>
      </c>
      <c r="Q13" s="2">
        <v>9</v>
      </c>
      <c r="R13" s="2">
        <v>6</v>
      </c>
      <c r="S13" s="2">
        <v>7</v>
      </c>
      <c r="T13" s="2">
        <v>7</v>
      </c>
      <c r="U13" s="2">
        <v>8</v>
      </c>
      <c r="V13" s="2">
        <v>8</v>
      </c>
      <c r="W13" s="2">
        <v>7</v>
      </c>
      <c r="X13" s="2">
        <v>8</v>
      </c>
      <c r="Y13" s="2">
        <v>7</v>
      </c>
      <c r="Z13" s="2">
        <v>9</v>
      </c>
      <c r="AA13" s="2">
        <v>6</v>
      </c>
      <c r="AB13" s="2">
        <v>9</v>
      </c>
      <c r="AC13" s="2">
        <v>7</v>
      </c>
      <c r="AD13" s="2">
        <v>10</v>
      </c>
      <c r="AE13" s="2">
        <v>8</v>
      </c>
      <c r="AF13" s="2">
        <v>9</v>
      </c>
      <c r="AG13" s="2">
        <v>7</v>
      </c>
      <c r="AH13" s="2">
        <v>9</v>
      </c>
      <c r="AI13" s="2">
        <v>9</v>
      </c>
      <c r="AJ13" s="2">
        <v>7</v>
      </c>
      <c r="AK13" s="2">
        <v>9</v>
      </c>
      <c r="AL13" s="2">
        <v>8</v>
      </c>
      <c r="AM13" s="2">
        <v>10</v>
      </c>
      <c r="AN13" s="2">
        <v>7</v>
      </c>
      <c r="AO13" s="2">
        <v>7</v>
      </c>
      <c r="AP13" s="2">
        <v>9</v>
      </c>
      <c r="AQ13" s="2">
        <v>7</v>
      </c>
      <c r="AR13" s="2">
        <v>7</v>
      </c>
      <c r="AS13" s="3" t="s">
        <v>13</v>
      </c>
      <c r="AT13" s="2">
        <v>8</v>
      </c>
      <c r="AU13" s="3" t="s">
        <v>13</v>
      </c>
      <c r="AV13" s="2">
        <v>8</v>
      </c>
      <c r="AW13" s="26">
        <v>6</v>
      </c>
      <c r="BA13" s="49" t="s">
        <v>80</v>
      </c>
      <c r="BB13" s="47" t="s">
        <v>93</v>
      </c>
      <c r="BC13" s="47"/>
      <c r="BD13" s="47"/>
      <c r="BE13" s="47"/>
      <c r="BF13" s="48"/>
      <c r="BG13" s="46"/>
    </row>
    <row r="14" spans="1:59" ht="16" x14ac:dyDescent="0.2">
      <c r="A14" s="9" t="s">
        <v>25</v>
      </c>
      <c r="B14" s="6">
        <v>7</v>
      </c>
      <c r="C14" s="2">
        <v>8</v>
      </c>
      <c r="D14" s="2">
        <v>7</v>
      </c>
      <c r="E14" s="2">
        <v>9</v>
      </c>
      <c r="F14" s="2">
        <v>9</v>
      </c>
      <c r="G14" s="2">
        <v>10</v>
      </c>
      <c r="H14" s="2">
        <v>8</v>
      </c>
      <c r="I14" s="2">
        <v>10</v>
      </c>
      <c r="J14" s="2">
        <v>9</v>
      </c>
      <c r="K14" s="2">
        <v>9</v>
      </c>
      <c r="L14" s="2">
        <v>8</v>
      </c>
      <c r="M14" s="2">
        <v>8</v>
      </c>
      <c r="N14" s="2">
        <v>8</v>
      </c>
      <c r="O14" s="2">
        <v>6</v>
      </c>
      <c r="P14" s="2">
        <v>8</v>
      </c>
      <c r="Q14" s="2">
        <v>9</v>
      </c>
      <c r="R14" s="2">
        <v>7</v>
      </c>
      <c r="S14" s="2">
        <v>7</v>
      </c>
      <c r="T14" s="2">
        <v>8</v>
      </c>
      <c r="U14" s="2">
        <v>8</v>
      </c>
      <c r="V14" s="2">
        <v>8</v>
      </c>
      <c r="W14" s="2">
        <v>9</v>
      </c>
      <c r="X14" s="2">
        <v>8</v>
      </c>
      <c r="Y14" s="2">
        <v>9</v>
      </c>
      <c r="Z14" s="2">
        <v>8</v>
      </c>
      <c r="AA14" s="2">
        <v>8</v>
      </c>
      <c r="AB14" s="2">
        <v>9</v>
      </c>
      <c r="AC14" s="2">
        <v>7</v>
      </c>
      <c r="AD14" s="2">
        <v>10</v>
      </c>
      <c r="AE14" s="2">
        <v>9</v>
      </c>
      <c r="AF14" s="2">
        <v>7</v>
      </c>
      <c r="AG14" s="2">
        <v>9</v>
      </c>
      <c r="AH14" s="2">
        <v>7</v>
      </c>
      <c r="AI14" s="2">
        <v>7</v>
      </c>
      <c r="AJ14" s="2">
        <v>8</v>
      </c>
      <c r="AK14" s="2">
        <v>7</v>
      </c>
      <c r="AL14" s="2">
        <v>5</v>
      </c>
      <c r="AM14" s="2">
        <v>8</v>
      </c>
      <c r="AN14" s="2">
        <v>7</v>
      </c>
      <c r="AO14" s="2">
        <v>7</v>
      </c>
      <c r="AP14" s="3" t="s">
        <v>13</v>
      </c>
      <c r="AQ14" s="2">
        <v>8</v>
      </c>
      <c r="AR14" s="2">
        <v>7</v>
      </c>
      <c r="AS14" s="2">
        <v>8</v>
      </c>
      <c r="AT14" s="3" t="s">
        <v>13</v>
      </c>
      <c r="AU14" s="2">
        <v>7</v>
      </c>
      <c r="AV14" s="2">
        <v>7</v>
      </c>
      <c r="AW14" s="26">
        <v>7</v>
      </c>
      <c r="BA14" s="49" t="s">
        <v>81</v>
      </c>
      <c r="BB14" s="47" t="s">
        <v>82</v>
      </c>
      <c r="BC14" s="47"/>
      <c r="BD14" s="47"/>
      <c r="BE14" s="47"/>
      <c r="BF14" s="48"/>
      <c r="BG14" s="46"/>
    </row>
    <row r="15" spans="1:59" ht="16" x14ac:dyDescent="0.2">
      <c r="A15" s="9" t="s">
        <v>26</v>
      </c>
      <c r="B15" s="30" t="s">
        <v>13</v>
      </c>
      <c r="C15" s="2">
        <v>9</v>
      </c>
      <c r="D15" s="2">
        <v>8</v>
      </c>
      <c r="E15" s="2">
        <v>8</v>
      </c>
      <c r="F15" s="2">
        <v>7</v>
      </c>
      <c r="G15" s="2">
        <v>9</v>
      </c>
      <c r="H15" s="2">
        <v>8</v>
      </c>
      <c r="I15" s="2">
        <v>8</v>
      </c>
      <c r="J15" s="2">
        <v>8</v>
      </c>
      <c r="K15" s="2">
        <v>7</v>
      </c>
      <c r="L15" s="2">
        <v>9</v>
      </c>
      <c r="M15" s="3" t="s">
        <v>13</v>
      </c>
      <c r="N15" s="2">
        <v>8</v>
      </c>
      <c r="O15" s="2">
        <v>9</v>
      </c>
      <c r="P15" s="3" t="s">
        <v>13</v>
      </c>
      <c r="Q15" s="2">
        <v>9</v>
      </c>
      <c r="R15" s="2">
        <v>7</v>
      </c>
      <c r="S15" s="2">
        <v>8</v>
      </c>
      <c r="T15" s="2">
        <v>8</v>
      </c>
      <c r="U15" s="2">
        <v>7</v>
      </c>
      <c r="V15" s="2">
        <v>7</v>
      </c>
      <c r="W15" s="2">
        <v>8</v>
      </c>
      <c r="X15" s="2">
        <v>8</v>
      </c>
      <c r="Y15" s="2">
        <v>8</v>
      </c>
      <c r="Z15" s="2">
        <v>8</v>
      </c>
      <c r="AA15" s="2">
        <v>8</v>
      </c>
      <c r="AB15" s="2">
        <v>9</v>
      </c>
      <c r="AC15" s="2">
        <v>7</v>
      </c>
      <c r="AD15" s="2">
        <v>8</v>
      </c>
      <c r="AE15" s="2">
        <v>7</v>
      </c>
      <c r="AF15" s="2">
        <v>10</v>
      </c>
      <c r="AG15" s="2">
        <v>8</v>
      </c>
      <c r="AH15" s="2">
        <v>7</v>
      </c>
      <c r="AI15" s="2">
        <v>9</v>
      </c>
      <c r="AJ15" s="2">
        <v>7</v>
      </c>
      <c r="AK15" s="2">
        <v>9</v>
      </c>
      <c r="AL15" s="2">
        <v>9</v>
      </c>
      <c r="AM15" s="2">
        <v>10</v>
      </c>
      <c r="AN15" s="3" t="s">
        <v>13</v>
      </c>
      <c r="AO15" s="2">
        <v>8</v>
      </c>
      <c r="AP15" s="2">
        <v>9</v>
      </c>
      <c r="AQ15" s="2">
        <v>8</v>
      </c>
      <c r="AR15" s="2">
        <v>9</v>
      </c>
      <c r="AS15" s="3" t="s">
        <v>13</v>
      </c>
      <c r="AT15" s="2">
        <v>6</v>
      </c>
      <c r="AU15" s="2">
        <v>5</v>
      </c>
      <c r="AV15" s="2">
        <v>7</v>
      </c>
      <c r="AW15" s="26">
        <v>5</v>
      </c>
      <c r="BA15" s="50" t="s">
        <v>13</v>
      </c>
      <c r="BB15" s="47" t="s">
        <v>83</v>
      </c>
      <c r="BC15" s="47"/>
      <c r="BD15" s="47"/>
      <c r="BE15" s="47"/>
      <c r="BF15" s="48"/>
      <c r="BG15" s="46"/>
    </row>
    <row r="16" spans="1:59" ht="17" thickBot="1" x14ac:dyDescent="0.25">
      <c r="A16" s="9" t="s">
        <v>27</v>
      </c>
      <c r="B16" s="6">
        <v>8</v>
      </c>
      <c r="C16" s="2"/>
      <c r="D16" s="2">
        <v>8</v>
      </c>
      <c r="E16" s="4"/>
      <c r="F16" s="2">
        <v>8</v>
      </c>
      <c r="G16" s="2">
        <v>8</v>
      </c>
      <c r="H16" s="2">
        <v>10</v>
      </c>
      <c r="I16" s="2">
        <v>10</v>
      </c>
      <c r="J16" s="2">
        <v>7</v>
      </c>
      <c r="K16" s="2"/>
      <c r="L16" s="2">
        <v>7</v>
      </c>
      <c r="M16" s="2">
        <v>8</v>
      </c>
      <c r="N16" s="2">
        <v>8</v>
      </c>
      <c r="O16" s="2">
        <v>9</v>
      </c>
      <c r="P16" s="2">
        <v>8</v>
      </c>
      <c r="Q16" s="2">
        <v>9</v>
      </c>
      <c r="R16" s="2">
        <v>8</v>
      </c>
      <c r="S16" s="2">
        <v>7</v>
      </c>
      <c r="T16" s="2">
        <v>7</v>
      </c>
      <c r="U16" s="2">
        <v>7</v>
      </c>
      <c r="V16" s="2">
        <v>10</v>
      </c>
      <c r="W16" s="2">
        <v>8</v>
      </c>
      <c r="X16" s="2">
        <v>7</v>
      </c>
      <c r="Y16" s="2">
        <v>8</v>
      </c>
      <c r="Z16" s="2">
        <v>8</v>
      </c>
      <c r="AA16" s="2"/>
      <c r="AB16" s="2"/>
      <c r="AC16" s="2">
        <v>8</v>
      </c>
      <c r="AD16" s="2">
        <v>8</v>
      </c>
      <c r="AE16" s="2">
        <v>8</v>
      </c>
      <c r="AF16" s="2">
        <v>9</v>
      </c>
      <c r="AG16" s="2">
        <v>6</v>
      </c>
      <c r="AH16" s="2">
        <v>7</v>
      </c>
      <c r="AI16" s="2"/>
      <c r="AJ16" s="2">
        <v>7</v>
      </c>
      <c r="AK16" s="2">
        <v>6</v>
      </c>
      <c r="AL16" s="2">
        <v>7</v>
      </c>
      <c r="AM16" s="2">
        <v>11</v>
      </c>
      <c r="AN16" s="2">
        <v>9</v>
      </c>
      <c r="AO16" s="3" t="s">
        <v>13</v>
      </c>
      <c r="AP16" s="2">
        <v>8</v>
      </c>
      <c r="AQ16" s="2">
        <v>8</v>
      </c>
      <c r="AR16" s="2">
        <v>5</v>
      </c>
      <c r="AS16" s="2">
        <v>9</v>
      </c>
      <c r="AT16" s="2">
        <v>7</v>
      </c>
      <c r="AU16" s="2">
        <v>8</v>
      </c>
      <c r="AV16" s="2">
        <v>8</v>
      </c>
      <c r="AW16" s="26">
        <v>7</v>
      </c>
      <c r="BA16" s="49" t="s">
        <v>86</v>
      </c>
      <c r="BB16" s="47" t="s">
        <v>87</v>
      </c>
      <c r="BC16" s="47"/>
      <c r="BD16" s="47"/>
      <c r="BE16" s="47"/>
      <c r="BF16" s="48"/>
      <c r="BG16" s="46"/>
    </row>
    <row r="17" spans="1:59" ht="17" thickBot="1" x14ac:dyDescent="0.25">
      <c r="A17" s="9" t="s">
        <v>28</v>
      </c>
      <c r="B17" s="6">
        <v>6</v>
      </c>
      <c r="C17" s="29"/>
      <c r="D17" s="2">
        <v>7</v>
      </c>
      <c r="E17" s="29"/>
      <c r="F17" s="2">
        <v>8</v>
      </c>
      <c r="G17" s="2">
        <v>9</v>
      </c>
      <c r="H17" s="2">
        <v>9</v>
      </c>
      <c r="I17" s="2">
        <v>9</v>
      </c>
      <c r="J17" s="2">
        <v>8</v>
      </c>
      <c r="K17" s="2"/>
      <c r="L17" s="2">
        <v>7</v>
      </c>
      <c r="M17" s="2">
        <v>8</v>
      </c>
      <c r="N17" s="2">
        <v>7</v>
      </c>
      <c r="O17" s="2">
        <v>8</v>
      </c>
      <c r="P17" s="2">
        <v>8</v>
      </c>
      <c r="Q17" s="2">
        <v>7</v>
      </c>
      <c r="R17" s="2">
        <v>7</v>
      </c>
      <c r="S17" s="2">
        <v>6</v>
      </c>
      <c r="T17" s="2">
        <v>7</v>
      </c>
      <c r="U17" s="2">
        <v>8</v>
      </c>
      <c r="V17" s="2">
        <v>9</v>
      </c>
      <c r="W17" s="2">
        <v>7</v>
      </c>
      <c r="X17" s="2">
        <v>10</v>
      </c>
      <c r="Y17" s="2">
        <v>6</v>
      </c>
      <c r="Z17" s="2">
        <v>8</v>
      </c>
      <c r="AA17" s="2"/>
      <c r="AB17" s="2"/>
      <c r="AC17" s="2">
        <v>7</v>
      </c>
      <c r="AD17" s="2">
        <v>6</v>
      </c>
      <c r="AE17" s="2">
        <v>9</v>
      </c>
      <c r="AF17" s="2">
        <v>5</v>
      </c>
      <c r="AG17" s="2">
        <v>8</v>
      </c>
      <c r="AH17" s="2">
        <v>8</v>
      </c>
      <c r="AI17" s="2"/>
      <c r="AJ17" s="2">
        <v>8</v>
      </c>
      <c r="AK17" s="2"/>
      <c r="AL17" s="2">
        <v>6</v>
      </c>
      <c r="AM17" s="2">
        <v>9</v>
      </c>
      <c r="AN17" s="2"/>
      <c r="AO17" s="2">
        <v>7</v>
      </c>
      <c r="AP17" s="2">
        <v>9</v>
      </c>
      <c r="AQ17" s="2">
        <v>7</v>
      </c>
      <c r="AR17" s="2">
        <v>7</v>
      </c>
      <c r="AS17" s="3" t="s">
        <v>13</v>
      </c>
      <c r="AT17" s="2">
        <v>8</v>
      </c>
      <c r="AU17" s="2">
        <v>7</v>
      </c>
      <c r="AV17" s="2">
        <v>8</v>
      </c>
      <c r="AW17" s="26">
        <v>9</v>
      </c>
      <c r="BA17" s="51" t="s">
        <v>89</v>
      </c>
      <c r="BB17" s="52"/>
      <c r="BC17" s="52"/>
      <c r="BD17" s="52"/>
      <c r="BE17" s="52"/>
      <c r="BF17" s="53"/>
      <c r="BG17" s="46"/>
    </row>
    <row r="18" spans="1:59" ht="16" x14ac:dyDescent="0.2">
      <c r="A18" s="9" t="s">
        <v>29</v>
      </c>
      <c r="B18" s="6">
        <v>7</v>
      </c>
      <c r="C18" s="2"/>
      <c r="D18" s="2">
        <v>8</v>
      </c>
      <c r="E18" s="2"/>
      <c r="F18" s="2"/>
      <c r="G18" s="2">
        <v>6</v>
      </c>
      <c r="H18" s="2">
        <v>9</v>
      </c>
      <c r="I18" s="2">
        <v>10</v>
      </c>
      <c r="J18" s="2">
        <v>7</v>
      </c>
      <c r="K18" s="2"/>
      <c r="L18" s="2">
        <v>8</v>
      </c>
      <c r="M18" s="2"/>
      <c r="N18" s="2">
        <v>7</v>
      </c>
      <c r="O18" s="2">
        <v>9</v>
      </c>
      <c r="P18" s="2">
        <v>7</v>
      </c>
      <c r="Q18" s="2">
        <v>7</v>
      </c>
      <c r="R18" s="2">
        <v>8</v>
      </c>
      <c r="S18" s="2">
        <v>7</v>
      </c>
      <c r="T18" s="2">
        <v>8</v>
      </c>
      <c r="U18" s="2">
        <v>8</v>
      </c>
      <c r="V18" s="2">
        <v>7</v>
      </c>
      <c r="W18" s="2">
        <v>8</v>
      </c>
      <c r="X18" s="2">
        <v>9</v>
      </c>
      <c r="Y18" s="2"/>
      <c r="Z18" s="2">
        <v>7</v>
      </c>
      <c r="AA18" s="2"/>
      <c r="AB18" s="2"/>
      <c r="AC18" s="2">
        <v>6</v>
      </c>
      <c r="AD18" s="2">
        <v>8</v>
      </c>
      <c r="AE18" s="2">
        <v>8</v>
      </c>
      <c r="AF18" s="2">
        <v>5</v>
      </c>
      <c r="AG18" s="2">
        <v>7</v>
      </c>
      <c r="AH18" s="2">
        <v>9</v>
      </c>
      <c r="AI18" s="2"/>
      <c r="AJ18" s="2">
        <v>9</v>
      </c>
      <c r="AK18" s="2"/>
      <c r="AL18" s="2">
        <v>5</v>
      </c>
      <c r="AM18" s="2"/>
      <c r="AN18" s="2"/>
      <c r="AO18" s="2"/>
      <c r="AP18" s="2">
        <v>7</v>
      </c>
      <c r="AQ18" s="2">
        <v>10</v>
      </c>
      <c r="AR18" s="2">
        <v>8</v>
      </c>
      <c r="AS18" s="2">
        <v>9</v>
      </c>
      <c r="AT18" s="2">
        <v>8</v>
      </c>
      <c r="AU18" s="2"/>
      <c r="AV18" s="2">
        <v>8</v>
      </c>
      <c r="AW18" s="26">
        <v>9</v>
      </c>
      <c r="BA18" s="46"/>
      <c r="BB18" s="46"/>
      <c r="BC18" s="46"/>
      <c r="BD18" s="46"/>
      <c r="BE18" s="46"/>
      <c r="BF18" s="46"/>
      <c r="BG18" s="46"/>
    </row>
    <row r="19" spans="1:59" ht="16" x14ac:dyDescent="0.2">
      <c r="A19" s="9" t="s">
        <v>30</v>
      </c>
      <c r="B19" s="6">
        <v>8</v>
      </c>
      <c r="C19" s="2"/>
      <c r="D19" s="2">
        <v>8</v>
      </c>
      <c r="E19" s="2"/>
      <c r="F19" s="2"/>
      <c r="G19" s="2">
        <v>9</v>
      </c>
      <c r="H19" s="2"/>
      <c r="I19" s="2">
        <v>7</v>
      </c>
      <c r="J19" s="2">
        <v>7</v>
      </c>
      <c r="K19" s="2"/>
      <c r="L19" s="2">
        <v>7</v>
      </c>
      <c r="M19" s="2"/>
      <c r="N19" s="2">
        <v>9</v>
      </c>
      <c r="O19" s="2">
        <v>7</v>
      </c>
      <c r="P19" s="2"/>
      <c r="Q19" s="2">
        <v>8</v>
      </c>
      <c r="R19" s="3" t="s">
        <v>13</v>
      </c>
      <c r="S19" s="2">
        <v>7</v>
      </c>
      <c r="T19" s="2">
        <v>7</v>
      </c>
      <c r="U19" s="3" t="s">
        <v>13</v>
      </c>
      <c r="V19" s="2"/>
      <c r="W19" s="2">
        <v>8</v>
      </c>
      <c r="X19" s="2">
        <v>8</v>
      </c>
      <c r="Y19" s="2"/>
      <c r="Z19" s="2">
        <v>8</v>
      </c>
      <c r="AA19" s="2"/>
      <c r="AB19" s="2"/>
      <c r="AC19" s="2">
        <v>9</v>
      </c>
      <c r="AD19" s="2">
        <v>8</v>
      </c>
      <c r="AE19" s="2"/>
      <c r="AF19" s="2"/>
      <c r="AG19" s="2">
        <v>8</v>
      </c>
      <c r="AH19" s="2">
        <v>8</v>
      </c>
      <c r="AI19" s="2"/>
      <c r="AJ19" s="2">
        <v>6</v>
      </c>
      <c r="AK19" s="2"/>
      <c r="AL19" s="2">
        <v>8</v>
      </c>
      <c r="AM19" s="2"/>
      <c r="AN19" s="2"/>
      <c r="AO19" s="2"/>
      <c r="AP19" s="2">
        <v>9</v>
      </c>
      <c r="AQ19" s="2">
        <v>8</v>
      </c>
      <c r="AR19" s="2">
        <v>9</v>
      </c>
      <c r="AS19" s="3" t="s">
        <v>13</v>
      </c>
      <c r="AT19" s="2">
        <v>7</v>
      </c>
      <c r="AU19" s="2"/>
      <c r="AV19" s="2">
        <v>6</v>
      </c>
      <c r="AW19" s="26"/>
      <c r="BA19" s="46"/>
      <c r="BB19" s="46"/>
      <c r="BC19" s="46"/>
      <c r="BD19" s="46"/>
      <c r="BE19" s="46"/>
      <c r="BF19" s="46"/>
      <c r="BG19" s="46"/>
    </row>
    <row r="20" spans="1:59" ht="16" x14ac:dyDescent="0.2">
      <c r="A20" s="9" t="s">
        <v>31</v>
      </c>
      <c r="B20" s="6">
        <v>8</v>
      </c>
      <c r="C20" s="2"/>
      <c r="D20" s="2">
        <v>8</v>
      </c>
      <c r="E20" s="2"/>
      <c r="F20" s="2"/>
      <c r="G20" s="2">
        <v>8</v>
      </c>
      <c r="H20" s="2"/>
      <c r="I20" s="2">
        <v>9</v>
      </c>
      <c r="J20" s="2">
        <v>6</v>
      </c>
      <c r="K20" s="2"/>
      <c r="L20" s="2"/>
      <c r="M20" s="2"/>
      <c r="N20" s="2">
        <v>8</v>
      </c>
      <c r="O20" s="2">
        <v>8</v>
      </c>
      <c r="P20" s="2"/>
      <c r="Q20" s="2">
        <v>9</v>
      </c>
      <c r="R20" s="3" t="s">
        <v>13</v>
      </c>
      <c r="S20" s="2">
        <v>7</v>
      </c>
      <c r="T20" s="2">
        <v>8</v>
      </c>
      <c r="U20" s="3" t="s">
        <v>13</v>
      </c>
      <c r="V20" s="2"/>
      <c r="W20" s="2">
        <v>7</v>
      </c>
      <c r="X20" s="2">
        <v>9</v>
      </c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>
        <v>9</v>
      </c>
      <c r="AQ20" s="2"/>
      <c r="AR20" s="2">
        <v>7</v>
      </c>
      <c r="AS20" s="2">
        <v>9</v>
      </c>
      <c r="AT20" s="2">
        <v>6</v>
      </c>
      <c r="AU20" s="2"/>
      <c r="AV20" s="2">
        <v>9</v>
      </c>
      <c r="AW20" s="26"/>
      <c r="BA20" s="46"/>
      <c r="BB20" s="46"/>
      <c r="BC20" s="46"/>
      <c r="BD20" s="46"/>
      <c r="BE20" s="46"/>
      <c r="BF20" s="46"/>
      <c r="BG20" s="46"/>
    </row>
    <row r="21" spans="1:59" ht="16" x14ac:dyDescent="0.2">
      <c r="A21" s="9" t="s">
        <v>32</v>
      </c>
      <c r="B21" s="6">
        <v>7</v>
      </c>
      <c r="C21" s="2"/>
      <c r="D21" s="2">
        <v>9</v>
      </c>
      <c r="E21" s="2"/>
      <c r="F21" s="2"/>
      <c r="G21" s="2"/>
      <c r="H21" s="2"/>
      <c r="I21" s="2">
        <v>8</v>
      </c>
      <c r="J21" s="2"/>
      <c r="K21" s="2"/>
      <c r="L21" s="2"/>
      <c r="M21" s="2"/>
      <c r="N21" s="2">
        <v>9</v>
      </c>
      <c r="O21" s="2">
        <v>10</v>
      </c>
      <c r="P21" s="2"/>
      <c r="Q21" s="2"/>
      <c r="R21" s="2">
        <v>8</v>
      </c>
      <c r="S21" s="2">
        <v>8</v>
      </c>
      <c r="T21" s="2">
        <v>7</v>
      </c>
      <c r="U21" s="2"/>
      <c r="V21" s="2"/>
      <c r="W21" s="2">
        <v>7</v>
      </c>
      <c r="X21" s="2">
        <v>9</v>
      </c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>
        <v>9</v>
      </c>
      <c r="AQ21" s="2"/>
      <c r="AR21" s="2"/>
      <c r="AS21" s="3" t="s">
        <v>13</v>
      </c>
      <c r="AT21" s="2">
        <v>8</v>
      </c>
      <c r="AU21" s="2"/>
      <c r="AV21" s="2">
        <v>7</v>
      </c>
      <c r="AW21" s="26"/>
      <c r="BA21" s="46"/>
      <c r="BB21" s="46"/>
      <c r="BC21" s="46"/>
      <c r="BD21" s="46"/>
      <c r="BE21" s="46"/>
      <c r="BF21" s="46"/>
      <c r="BG21" s="46"/>
    </row>
    <row r="22" spans="1:59" ht="16" x14ac:dyDescent="0.2">
      <c r="A22" s="9" t="s">
        <v>33</v>
      </c>
      <c r="B22" s="6">
        <v>8</v>
      </c>
      <c r="C22" s="2"/>
      <c r="D22" s="2">
        <v>8</v>
      </c>
      <c r="E22" s="2"/>
      <c r="F22" s="2"/>
      <c r="G22" s="2"/>
      <c r="H22" s="2"/>
      <c r="I22" s="2">
        <v>8</v>
      </c>
      <c r="J22" s="2"/>
      <c r="K22" s="2"/>
      <c r="L22" s="2"/>
      <c r="M22" s="2"/>
      <c r="N22" s="2">
        <v>7</v>
      </c>
      <c r="O22" s="2">
        <v>8</v>
      </c>
      <c r="P22" s="2"/>
      <c r="Q22" s="2"/>
      <c r="R22" s="2"/>
      <c r="S22" s="2"/>
      <c r="T22" s="2">
        <v>9</v>
      </c>
      <c r="U22" s="2"/>
      <c r="V22" s="2"/>
      <c r="W22" s="2">
        <v>8</v>
      </c>
      <c r="X22" s="2">
        <v>8</v>
      </c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>
        <v>7</v>
      </c>
      <c r="AT22" s="2">
        <v>6</v>
      </c>
      <c r="AU22" s="2"/>
      <c r="AV22" s="2">
        <v>8</v>
      </c>
      <c r="AW22" s="26"/>
    </row>
    <row r="23" spans="1:59" ht="16" x14ac:dyDescent="0.2">
      <c r="A23" s="9" t="s">
        <v>34</v>
      </c>
      <c r="B23" s="6">
        <v>7</v>
      </c>
      <c r="C23" s="2"/>
      <c r="D23" s="2">
        <v>8</v>
      </c>
      <c r="E23" s="2"/>
      <c r="F23" s="2"/>
      <c r="G23" s="2"/>
      <c r="H23" s="2"/>
      <c r="I23" s="2">
        <v>8</v>
      </c>
      <c r="J23" s="2"/>
      <c r="K23" s="2"/>
      <c r="L23" s="2"/>
      <c r="M23" s="2"/>
      <c r="N23" s="2">
        <v>7</v>
      </c>
      <c r="O23" s="2"/>
      <c r="P23" s="2"/>
      <c r="Q23" s="2"/>
      <c r="R23" s="2"/>
      <c r="S23" s="2"/>
      <c r="T23" s="2">
        <v>8</v>
      </c>
      <c r="U23" s="2"/>
      <c r="V23" s="2"/>
      <c r="W23" s="2"/>
      <c r="X23" s="2">
        <v>11</v>
      </c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>
        <v>9</v>
      </c>
      <c r="AU23" s="2"/>
      <c r="AV23" s="2">
        <v>7</v>
      </c>
      <c r="AW23" s="26"/>
    </row>
    <row r="24" spans="1:59" ht="16" x14ac:dyDescent="0.2">
      <c r="A24" s="9" t="s">
        <v>35</v>
      </c>
      <c r="B24" s="6"/>
      <c r="C24" s="2"/>
      <c r="D24" s="2">
        <v>8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>
        <v>8</v>
      </c>
      <c r="AU24" s="2"/>
      <c r="AV24" s="2"/>
      <c r="AW24" s="26"/>
    </row>
    <row r="25" spans="1:59" ht="16" x14ac:dyDescent="0.2">
      <c r="A25" s="9" t="s">
        <v>36</v>
      </c>
      <c r="B25" s="31"/>
      <c r="C25" s="2"/>
      <c r="D25" s="2">
        <v>8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6"/>
    </row>
    <row r="26" spans="1:59" ht="16" x14ac:dyDescent="0.2">
      <c r="A26" s="9" t="s">
        <v>37</v>
      </c>
      <c r="B26" s="6"/>
      <c r="C26" s="2"/>
      <c r="D26" s="2">
        <v>8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6"/>
    </row>
    <row r="27" spans="1:59" ht="16" x14ac:dyDescent="0.2">
      <c r="A27" s="9" t="s">
        <v>38</v>
      </c>
      <c r="B27" s="6"/>
      <c r="C27" s="2"/>
      <c r="D27" s="2">
        <v>9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6"/>
    </row>
    <row r="28" spans="1:59" ht="16" x14ac:dyDescent="0.2">
      <c r="A28" s="9" t="s">
        <v>39</v>
      </c>
      <c r="B28" s="6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6"/>
    </row>
    <row r="29" spans="1:59" ht="15.75" customHeight="1" thickBot="1" x14ac:dyDescent="0.25">
      <c r="A29" s="11" t="s">
        <v>40</v>
      </c>
      <c r="B29" s="12"/>
      <c r="C29" s="13"/>
      <c r="D29" s="32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27"/>
    </row>
    <row r="30" spans="1:59" ht="15.75" customHeight="1" x14ac:dyDescent="0.2">
      <c r="A30" s="34" t="s">
        <v>90</v>
      </c>
      <c r="B30" s="35">
        <f>COUNTIF(B2:B29, "&gt;0")</f>
        <v>19</v>
      </c>
      <c r="C30" s="36">
        <f t="shared" ref="C30:AW30" si="0">COUNTIF(C2:C29, "&gt;0")</f>
        <v>9</v>
      </c>
      <c r="D30" s="36">
        <f t="shared" si="0"/>
        <v>26</v>
      </c>
      <c r="E30" s="36">
        <f t="shared" si="0"/>
        <v>14</v>
      </c>
      <c r="F30" s="36">
        <f t="shared" si="0"/>
        <v>16</v>
      </c>
      <c r="G30" s="36">
        <f t="shared" si="0"/>
        <v>19</v>
      </c>
      <c r="H30" s="36">
        <f t="shared" si="0"/>
        <v>17</v>
      </c>
      <c r="I30" s="36">
        <f t="shared" si="0"/>
        <v>22</v>
      </c>
      <c r="J30" s="36">
        <f t="shared" si="0"/>
        <v>19</v>
      </c>
      <c r="K30" s="36">
        <f t="shared" si="0"/>
        <v>14</v>
      </c>
      <c r="L30" s="36">
        <f t="shared" si="0"/>
        <v>18</v>
      </c>
      <c r="M30" s="36">
        <f t="shared" si="0"/>
        <v>15</v>
      </c>
      <c r="N30" s="36">
        <f t="shared" si="0"/>
        <v>22</v>
      </c>
      <c r="O30" s="36">
        <f t="shared" si="0"/>
        <v>21</v>
      </c>
      <c r="P30" s="36">
        <f t="shared" si="0"/>
        <v>16</v>
      </c>
      <c r="Q30" s="36">
        <f t="shared" si="0"/>
        <v>16</v>
      </c>
      <c r="R30" s="36">
        <f t="shared" si="0"/>
        <v>18</v>
      </c>
      <c r="S30" s="36">
        <f t="shared" si="0"/>
        <v>20</v>
      </c>
      <c r="T30" s="36">
        <f t="shared" si="0"/>
        <v>22</v>
      </c>
      <c r="U30" s="36">
        <f t="shared" si="0"/>
        <v>17</v>
      </c>
      <c r="V30" s="36">
        <f t="shared" si="0"/>
        <v>16</v>
      </c>
      <c r="W30" s="36">
        <f t="shared" si="0"/>
        <v>21</v>
      </c>
      <c r="X30" s="36">
        <f t="shared" si="0"/>
        <v>20</v>
      </c>
      <c r="Y30" s="36">
        <f t="shared" si="0"/>
        <v>16</v>
      </c>
      <c r="Z30" s="36">
        <f t="shared" si="0"/>
        <v>18</v>
      </c>
      <c r="AA30" s="36">
        <f t="shared" si="0"/>
        <v>14</v>
      </c>
      <c r="AB30" s="36">
        <f t="shared" si="0"/>
        <v>14</v>
      </c>
      <c r="AC30" s="36">
        <f t="shared" si="0"/>
        <v>16</v>
      </c>
      <c r="AD30" s="36">
        <f t="shared" si="0"/>
        <v>18</v>
      </c>
      <c r="AE30" s="36">
        <f t="shared" si="0"/>
        <v>17</v>
      </c>
      <c r="AF30" s="36">
        <f t="shared" si="0"/>
        <v>17</v>
      </c>
      <c r="AG30" s="36">
        <f t="shared" si="0"/>
        <v>18</v>
      </c>
      <c r="AH30" s="36">
        <f t="shared" si="0"/>
        <v>18</v>
      </c>
      <c r="AI30" s="36">
        <f t="shared" si="0"/>
        <v>14</v>
      </c>
      <c r="AJ30" s="36">
        <f t="shared" si="0"/>
        <v>16</v>
      </c>
      <c r="AK30" s="36">
        <f t="shared" si="0"/>
        <v>15</v>
      </c>
      <c r="AL30" s="36">
        <f t="shared" si="0"/>
        <v>18</v>
      </c>
      <c r="AM30" s="36">
        <f t="shared" si="0"/>
        <v>13</v>
      </c>
      <c r="AN30" s="36">
        <f t="shared" si="0"/>
        <v>14</v>
      </c>
      <c r="AO30" s="36">
        <f t="shared" si="0"/>
        <v>15</v>
      </c>
      <c r="AP30" s="36">
        <f t="shared" si="0"/>
        <v>16</v>
      </c>
      <c r="AQ30" s="36">
        <f t="shared" si="0"/>
        <v>18</v>
      </c>
      <c r="AR30" s="36">
        <f t="shared" si="0"/>
        <v>18</v>
      </c>
      <c r="AS30" s="36">
        <f t="shared" si="0"/>
        <v>11</v>
      </c>
      <c r="AT30" s="36">
        <f t="shared" si="0"/>
        <v>22</v>
      </c>
      <c r="AU30" s="36">
        <f t="shared" si="0"/>
        <v>12</v>
      </c>
      <c r="AV30" s="36">
        <f t="shared" si="0"/>
        <v>22</v>
      </c>
      <c r="AW30" s="37">
        <f t="shared" si="0"/>
        <v>17</v>
      </c>
    </row>
    <row r="31" spans="1:59" ht="15.75" customHeight="1" x14ac:dyDescent="0.2">
      <c r="A31" s="38" t="s">
        <v>91</v>
      </c>
      <c r="B31" s="39">
        <f>SUM(B2:B29)</f>
        <v>140</v>
      </c>
      <c r="C31" s="40">
        <f t="shared" ref="C31:AW31" si="1">SUM(C2:C29)</f>
        <v>69</v>
      </c>
      <c r="D31" s="40">
        <f t="shared" si="1"/>
        <v>211</v>
      </c>
      <c r="E31" s="40">
        <f t="shared" si="1"/>
        <v>116</v>
      </c>
      <c r="F31" s="40">
        <f t="shared" si="1"/>
        <v>117</v>
      </c>
      <c r="G31" s="40">
        <f t="shared" si="1"/>
        <v>156</v>
      </c>
      <c r="H31" s="40">
        <f t="shared" si="1"/>
        <v>144</v>
      </c>
      <c r="I31" s="40">
        <f t="shared" si="1"/>
        <v>185</v>
      </c>
      <c r="J31" s="40">
        <f t="shared" si="1"/>
        <v>146</v>
      </c>
      <c r="K31" s="40">
        <f t="shared" si="1"/>
        <v>111</v>
      </c>
      <c r="L31" s="40">
        <f t="shared" si="1"/>
        <v>140</v>
      </c>
      <c r="M31" s="40">
        <f t="shared" si="1"/>
        <v>118</v>
      </c>
      <c r="N31" s="40">
        <f t="shared" si="1"/>
        <v>172</v>
      </c>
      <c r="O31" s="40">
        <f t="shared" si="1"/>
        <v>168</v>
      </c>
      <c r="P31" s="40">
        <f t="shared" si="1"/>
        <v>124</v>
      </c>
      <c r="Q31" s="40">
        <f t="shared" si="1"/>
        <v>130</v>
      </c>
      <c r="R31" s="40">
        <f t="shared" si="1"/>
        <v>136</v>
      </c>
      <c r="S31" s="40">
        <f t="shared" si="1"/>
        <v>141</v>
      </c>
      <c r="T31" s="40">
        <f t="shared" si="1"/>
        <v>174</v>
      </c>
      <c r="U31" s="40">
        <f t="shared" si="1"/>
        <v>137</v>
      </c>
      <c r="V31" s="40">
        <f t="shared" si="1"/>
        <v>122</v>
      </c>
      <c r="W31" s="40">
        <f t="shared" si="1"/>
        <v>168</v>
      </c>
      <c r="X31" s="40">
        <f t="shared" si="1"/>
        <v>171</v>
      </c>
      <c r="Y31" s="40">
        <f t="shared" si="1"/>
        <v>129</v>
      </c>
      <c r="Z31" s="40">
        <f t="shared" si="1"/>
        <v>148</v>
      </c>
      <c r="AA31" s="40">
        <f t="shared" si="1"/>
        <v>111</v>
      </c>
      <c r="AB31" s="40">
        <f t="shared" si="1"/>
        <v>113</v>
      </c>
      <c r="AC31" s="40">
        <f t="shared" si="1"/>
        <v>123</v>
      </c>
      <c r="AD31" s="40">
        <f t="shared" si="1"/>
        <v>146</v>
      </c>
      <c r="AE31" s="40">
        <f t="shared" si="1"/>
        <v>139</v>
      </c>
      <c r="AF31" s="40">
        <f t="shared" si="1"/>
        <v>138</v>
      </c>
      <c r="AG31" s="40">
        <f t="shared" si="1"/>
        <v>139</v>
      </c>
      <c r="AH31" s="40">
        <f t="shared" si="1"/>
        <v>144</v>
      </c>
      <c r="AI31" s="40">
        <f t="shared" si="1"/>
        <v>115</v>
      </c>
      <c r="AJ31" s="40">
        <f t="shared" si="1"/>
        <v>122</v>
      </c>
      <c r="AK31" s="40">
        <f t="shared" si="1"/>
        <v>120</v>
      </c>
      <c r="AL31" s="40">
        <f t="shared" si="1"/>
        <v>133</v>
      </c>
      <c r="AM31" s="40">
        <f t="shared" si="1"/>
        <v>120</v>
      </c>
      <c r="AN31" s="40">
        <f t="shared" si="1"/>
        <v>99</v>
      </c>
      <c r="AO31" s="40">
        <f t="shared" si="1"/>
        <v>113</v>
      </c>
      <c r="AP31" s="40">
        <f t="shared" si="1"/>
        <v>136</v>
      </c>
      <c r="AQ31" s="40">
        <f t="shared" si="1"/>
        <v>148</v>
      </c>
      <c r="AR31" s="40">
        <f t="shared" si="1"/>
        <v>131</v>
      </c>
      <c r="AS31" s="40">
        <f t="shared" si="1"/>
        <v>89</v>
      </c>
      <c r="AT31" s="40">
        <f t="shared" si="1"/>
        <v>163</v>
      </c>
      <c r="AU31" s="40">
        <f t="shared" si="1"/>
        <v>87</v>
      </c>
      <c r="AV31" s="40">
        <f t="shared" si="1"/>
        <v>166</v>
      </c>
      <c r="AW31" s="41">
        <f t="shared" si="1"/>
        <v>123</v>
      </c>
    </row>
    <row r="32" spans="1:59" ht="30" customHeight="1" thickBot="1" x14ac:dyDescent="0.25">
      <c r="A32" s="42" t="s">
        <v>95</v>
      </c>
      <c r="B32" s="43">
        <f>ROUND(B31/B30, 2)</f>
        <v>7.37</v>
      </c>
      <c r="C32" s="44">
        <f t="shared" ref="C32:AW32" si="2">ROUND(C31/C30, 2)</f>
        <v>7.67</v>
      </c>
      <c r="D32" s="44">
        <f t="shared" si="2"/>
        <v>8.1199999999999992</v>
      </c>
      <c r="E32" s="44">
        <f t="shared" si="2"/>
        <v>8.2899999999999991</v>
      </c>
      <c r="F32" s="44">
        <f t="shared" si="2"/>
        <v>7.31</v>
      </c>
      <c r="G32" s="44">
        <f t="shared" si="2"/>
        <v>8.2100000000000009</v>
      </c>
      <c r="H32" s="44">
        <f t="shared" si="2"/>
        <v>8.4700000000000006</v>
      </c>
      <c r="I32" s="44">
        <f t="shared" si="2"/>
        <v>8.41</v>
      </c>
      <c r="J32" s="44">
        <f t="shared" si="2"/>
        <v>7.68</v>
      </c>
      <c r="K32" s="44">
        <f t="shared" si="2"/>
        <v>7.93</v>
      </c>
      <c r="L32" s="44">
        <f t="shared" si="2"/>
        <v>7.78</v>
      </c>
      <c r="M32" s="44">
        <f t="shared" si="2"/>
        <v>7.87</v>
      </c>
      <c r="N32" s="44">
        <f t="shared" si="2"/>
        <v>7.82</v>
      </c>
      <c r="O32" s="44">
        <f t="shared" si="2"/>
        <v>8</v>
      </c>
      <c r="P32" s="44">
        <f t="shared" si="2"/>
        <v>7.75</v>
      </c>
      <c r="Q32" s="44">
        <f t="shared" si="2"/>
        <v>8.1300000000000008</v>
      </c>
      <c r="R32" s="44">
        <f t="shared" si="2"/>
        <v>7.56</v>
      </c>
      <c r="S32" s="44">
        <f t="shared" si="2"/>
        <v>7.05</v>
      </c>
      <c r="T32" s="44">
        <f t="shared" si="2"/>
        <v>7.91</v>
      </c>
      <c r="U32" s="44">
        <f t="shared" si="2"/>
        <v>8.06</v>
      </c>
      <c r="V32" s="44">
        <f t="shared" si="2"/>
        <v>7.63</v>
      </c>
      <c r="W32" s="44">
        <f t="shared" si="2"/>
        <v>8</v>
      </c>
      <c r="X32" s="44">
        <f t="shared" si="2"/>
        <v>8.5500000000000007</v>
      </c>
      <c r="Y32" s="44">
        <f t="shared" si="2"/>
        <v>8.06</v>
      </c>
      <c r="Z32" s="44">
        <f t="shared" si="2"/>
        <v>8.2200000000000006</v>
      </c>
      <c r="AA32" s="44">
        <f t="shared" si="2"/>
        <v>7.93</v>
      </c>
      <c r="AB32" s="44">
        <f t="shared" si="2"/>
        <v>8.07</v>
      </c>
      <c r="AC32" s="44">
        <f t="shared" si="2"/>
        <v>7.69</v>
      </c>
      <c r="AD32" s="44">
        <f t="shared" si="2"/>
        <v>8.11</v>
      </c>
      <c r="AE32" s="44">
        <f t="shared" si="2"/>
        <v>8.18</v>
      </c>
      <c r="AF32" s="44">
        <f t="shared" si="2"/>
        <v>8.1199999999999992</v>
      </c>
      <c r="AG32" s="44">
        <f t="shared" si="2"/>
        <v>7.72</v>
      </c>
      <c r="AH32" s="44">
        <f t="shared" si="2"/>
        <v>8</v>
      </c>
      <c r="AI32" s="44">
        <f t="shared" si="2"/>
        <v>8.2100000000000009</v>
      </c>
      <c r="AJ32" s="44">
        <f t="shared" si="2"/>
        <v>7.63</v>
      </c>
      <c r="AK32" s="44">
        <f t="shared" si="2"/>
        <v>8</v>
      </c>
      <c r="AL32" s="44">
        <f t="shared" si="2"/>
        <v>7.39</v>
      </c>
      <c r="AM32" s="44">
        <f t="shared" si="2"/>
        <v>9.23</v>
      </c>
      <c r="AN32" s="44">
        <f t="shared" si="2"/>
        <v>7.07</v>
      </c>
      <c r="AO32" s="44">
        <f t="shared" si="2"/>
        <v>7.53</v>
      </c>
      <c r="AP32" s="44">
        <f t="shared" si="2"/>
        <v>8.5</v>
      </c>
      <c r="AQ32" s="44">
        <f t="shared" si="2"/>
        <v>8.2200000000000006</v>
      </c>
      <c r="AR32" s="44">
        <f t="shared" si="2"/>
        <v>7.28</v>
      </c>
      <c r="AS32" s="44">
        <f t="shared" si="2"/>
        <v>8.09</v>
      </c>
      <c r="AT32" s="44">
        <f t="shared" si="2"/>
        <v>7.41</v>
      </c>
      <c r="AU32" s="44">
        <f t="shared" si="2"/>
        <v>7.25</v>
      </c>
      <c r="AV32" s="44">
        <f t="shared" si="2"/>
        <v>7.55</v>
      </c>
      <c r="AW32" s="45">
        <f t="shared" si="2"/>
        <v>7.24</v>
      </c>
    </row>
    <row r="33" spans="1:2" ht="30" customHeight="1" thickBot="1" x14ac:dyDescent="0.25">
      <c r="A33" s="58" t="s">
        <v>96</v>
      </c>
      <c r="B33" s="57">
        <f>ROUND((SUM(B32:AW32) / COUNT(B32:AW32)), 2)</f>
        <v>7.88</v>
      </c>
    </row>
  </sheetData>
  <mergeCells count="9">
    <mergeCell ref="BB16:BF16"/>
    <mergeCell ref="BA17:BF17"/>
    <mergeCell ref="BA9:BF9"/>
    <mergeCell ref="BB10:BF10"/>
    <mergeCell ref="BB11:BF11"/>
    <mergeCell ref="BB12:BF12"/>
    <mergeCell ref="BB13:BF13"/>
    <mergeCell ref="BB14:BF14"/>
    <mergeCell ref="BB15:BF15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1584E-1B77-4A0B-82CE-D5E5D354585D}">
  <dimension ref="A1:AW39"/>
  <sheetViews>
    <sheetView tabSelected="1" zoomScale="115" workbookViewId="0">
      <selection activeCell="C13" sqref="C13"/>
    </sheetView>
  </sheetViews>
  <sheetFormatPr baseColWidth="10" defaultColWidth="8.83203125" defaultRowHeight="13" x14ac:dyDescent="0.15"/>
  <cols>
    <col min="1" max="1" width="20.83203125" style="1" customWidth="1"/>
    <col min="2" max="2" width="12.33203125" style="1" customWidth="1"/>
    <col min="3" max="10" width="12.5" style="1" customWidth="1"/>
    <col min="11" max="11" width="12.6640625" style="1" customWidth="1"/>
    <col min="12" max="12" width="12.5" style="1" customWidth="1"/>
    <col min="13" max="14" width="12.6640625" style="1" customWidth="1"/>
    <col min="15" max="15" width="12.5" style="1" customWidth="1"/>
    <col min="16" max="16" width="12.6640625" style="1" customWidth="1"/>
    <col min="17" max="22" width="12.5" style="1" customWidth="1"/>
    <col min="23" max="24" width="12.6640625" style="1" customWidth="1"/>
    <col min="25" max="25" width="12.5" style="1" customWidth="1"/>
    <col min="26" max="26" width="12.6640625" style="1" customWidth="1"/>
    <col min="27" max="27" width="12.5" style="1" customWidth="1"/>
    <col min="28" max="29" width="12.6640625" style="1" customWidth="1"/>
    <col min="30" max="34" width="12.5" style="1" customWidth="1"/>
    <col min="35" max="36" width="12.6640625" style="1" customWidth="1"/>
    <col min="37" max="40" width="12.5" style="1" customWidth="1"/>
    <col min="41" max="44" width="12.6640625" style="1" customWidth="1"/>
    <col min="45" max="45" width="12.5" style="1" customWidth="1"/>
    <col min="46" max="46" width="12.6640625" style="1" customWidth="1"/>
    <col min="47" max="47" width="12.5" style="1" customWidth="1"/>
    <col min="48" max="48" width="12.6640625" style="1" customWidth="1"/>
    <col min="49" max="49" width="12.5" style="1" customWidth="1"/>
    <col min="50" max="16384" width="8.83203125" style="1"/>
  </cols>
  <sheetData>
    <row r="1" spans="1:49" ht="16" x14ac:dyDescent="0.15">
      <c r="A1" s="8" t="s">
        <v>88</v>
      </c>
      <c r="B1" s="23" t="s">
        <v>0</v>
      </c>
      <c r="C1" s="24" t="s">
        <v>1</v>
      </c>
      <c r="D1" s="24" t="s">
        <v>2</v>
      </c>
      <c r="E1" s="24" t="s">
        <v>3</v>
      </c>
      <c r="F1" s="24" t="s">
        <v>4</v>
      </c>
      <c r="G1" s="24" t="s">
        <v>5</v>
      </c>
      <c r="H1" s="24" t="s">
        <v>6</v>
      </c>
      <c r="I1" s="24" t="s">
        <v>7</v>
      </c>
      <c r="J1" s="24" t="s">
        <v>8</v>
      </c>
      <c r="K1" s="24" t="s">
        <v>9</v>
      </c>
      <c r="L1" s="24" t="s">
        <v>10</v>
      </c>
      <c r="M1" s="24" t="s">
        <v>11</v>
      </c>
      <c r="N1" s="24" t="s">
        <v>41</v>
      </c>
      <c r="O1" s="24" t="s">
        <v>42</v>
      </c>
      <c r="P1" s="24" t="s">
        <v>43</v>
      </c>
      <c r="Q1" s="24" t="s">
        <v>44</v>
      </c>
      <c r="R1" s="24" t="s">
        <v>45</v>
      </c>
      <c r="S1" s="24" t="s">
        <v>46</v>
      </c>
      <c r="T1" s="24" t="s">
        <v>47</v>
      </c>
      <c r="U1" s="24" t="s">
        <v>48</v>
      </c>
      <c r="V1" s="24" t="s">
        <v>49</v>
      </c>
      <c r="W1" s="24" t="s">
        <v>50</v>
      </c>
      <c r="X1" s="24" t="s">
        <v>51</v>
      </c>
      <c r="Y1" s="24" t="s">
        <v>52</v>
      </c>
      <c r="Z1" s="24" t="s">
        <v>53</v>
      </c>
      <c r="AA1" s="24" t="s">
        <v>54</v>
      </c>
      <c r="AB1" s="24" t="s">
        <v>55</v>
      </c>
      <c r="AC1" s="24" t="s">
        <v>56</v>
      </c>
      <c r="AD1" s="24" t="s">
        <v>57</v>
      </c>
      <c r="AE1" s="24" t="s">
        <v>58</v>
      </c>
      <c r="AF1" s="24" t="s">
        <v>59</v>
      </c>
      <c r="AG1" s="24" t="s">
        <v>60</v>
      </c>
      <c r="AH1" s="24" t="s">
        <v>61</v>
      </c>
      <c r="AI1" s="24" t="s">
        <v>62</v>
      </c>
      <c r="AJ1" s="24" t="s">
        <v>63</v>
      </c>
      <c r="AK1" s="24" t="s">
        <v>64</v>
      </c>
      <c r="AL1" s="24" t="s">
        <v>65</v>
      </c>
      <c r="AM1" s="24" t="s">
        <v>66</v>
      </c>
      <c r="AN1" s="24" t="s">
        <v>67</v>
      </c>
      <c r="AO1" s="24" t="s">
        <v>68</v>
      </c>
      <c r="AP1" s="24" t="s">
        <v>69</v>
      </c>
      <c r="AQ1" s="24" t="s">
        <v>70</v>
      </c>
      <c r="AR1" s="24" t="s">
        <v>71</v>
      </c>
      <c r="AS1" s="24" t="s">
        <v>72</v>
      </c>
      <c r="AT1" s="24" t="s">
        <v>73</v>
      </c>
      <c r="AU1" s="24" t="s">
        <v>74</v>
      </c>
      <c r="AV1" s="24" t="s">
        <v>75</v>
      </c>
      <c r="AW1" s="25" t="s">
        <v>76</v>
      </c>
    </row>
    <row r="2" spans="1:49" ht="16" x14ac:dyDescent="0.15">
      <c r="A2" s="9" t="s">
        <v>12</v>
      </c>
      <c r="B2" s="6">
        <v>8</v>
      </c>
      <c r="C2" s="2">
        <v>8</v>
      </c>
      <c r="D2" s="2">
        <v>8</v>
      </c>
      <c r="E2" s="2">
        <v>7</v>
      </c>
      <c r="F2" s="2">
        <v>8</v>
      </c>
      <c r="G2" s="2">
        <v>9</v>
      </c>
      <c r="H2" s="2">
        <v>8</v>
      </c>
      <c r="I2" s="2">
        <v>8</v>
      </c>
      <c r="J2" s="2">
        <v>9</v>
      </c>
      <c r="K2" s="2">
        <v>8</v>
      </c>
      <c r="L2" s="2">
        <v>9</v>
      </c>
      <c r="M2" s="2">
        <v>9</v>
      </c>
      <c r="N2" s="2">
        <v>7</v>
      </c>
      <c r="O2" s="2">
        <v>8</v>
      </c>
      <c r="P2" s="2">
        <v>7</v>
      </c>
      <c r="Q2" s="2">
        <v>7</v>
      </c>
      <c r="R2" s="2">
        <v>8</v>
      </c>
      <c r="S2" s="2">
        <v>7</v>
      </c>
      <c r="T2" s="2">
        <v>8</v>
      </c>
      <c r="U2" s="2">
        <v>8</v>
      </c>
      <c r="V2" s="2">
        <v>8</v>
      </c>
      <c r="W2" s="2">
        <v>8</v>
      </c>
      <c r="X2" s="2">
        <v>9</v>
      </c>
      <c r="Y2" s="2">
        <v>8</v>
      </c>
      <c r="Z2" s="2">
        <v>8</v>
      </c>
      <c r="AA2" s="2">
        <v>8</v>
      </c>
      <c r="AB2" s="2">
        <v>9</v>
      </c>
      <c r="AC2" s="2">
        <v>8</v>
      </c>
      <c r="AD2" s="2">
        <v>7</v>
      </c>
      <c r="AE2" s="2">
        <v>8</v>
      </c>
      <c r="AF2" s="2">
        <v>9</v>
      </c>
      <c r="AG2" s="2">
        <v>7</v>
      </c>
      <c r="AH2" s="2">
        <v>7</v>
      </c>
      <c r="AI2" s="2">
        <v>8</v>
      </c>
      <c r="AJ2" s="2">
        <v>8</v>
      </c>
      <c r="AK2" s="2">
        <v>8</v>
      </c>
      <c r="AL2" s="2">
        <v>10</v>
      </c>
      <c r="AM2" s="2">
        <v>9</v>
      </c>
      <c r="AN2" s="2">
        <v>8</v>
      </c>
      <c r="AO2" s="3" t="s">
        <v>13</v>
      </c>
      <c r="AP2" s="2">
        <v>7</v>
      </c>
      <c r="AQ2" s="2">
        <v>7</v>
      </c>
      <c r="AR2" s="2">
        <v>8</v>
      </c>
      <c r="AS2" s="2">
        <v>7</v>
      </c>
      <c r="AT2" s="2">
        <v>9</v>
      </c>
      <c r="AU2" s="2">
        <v>8</v>
      </c>
      <c r="AV2" s="2">
        <v>8</v>
      </c>
      <c r="AW2" s="26">
        <v>7</v>
      </c>
    </row>
    <row r="3" spans="1:49" ht="16" x14ac:dyDescent="0.15">
      <c r="A3" s="9" t="s">
        <v>14</v>
      </c>
      <c r="B3" s="6">
        <v>9</v>
      </c>
      <c r="C3" s="2">
        <v>7</v>
      </c>
      <c r="D3" s="2">
        <v>9</v>
      </c>
      <c r="E3" s="2">
        <v>9</v>
      </c>
      <c r="F3" s="2">
        <v>9</v>
      </c>
      <c r="G3" s="2">
        <v>9</v>
      </c>
      <c r="H3" s="2">
        <v>8</v>
      </c>
      <c r="I3" s="3" t="s">
        <v>13</v>
      </c>
      <c r="J3" s="2">
        <v>7</v>
      </c>
      <c r="K3" s="2">
        <v>9</v>
      </c>
      <c r="L3" s="2">
        <v>8</v>
      </c>
      <c r="M3" s="2">
        <v>8</v>
      </c>
      <c r="N3" s="2">
        <v>7</v>
      </c>
      <c r="O3" s="2">
        <v>8</v>
      </c>
      <c r="P3" s="2">
        <v>7</v>
      </c>
      <c r="Q3" s="2">
        <v>10</v>
      </c>
      <c r="R3" s="2">
        <v>9</v>
      </c>
      <c r="S3" s="2">
        <v>9</v>
      </c>
      <c r="T3" s="2">
        <v>10</v>
      </c>
      <c r="U3" s="2">
        <v>8</v>
      </c>
      <c r="V3" s="2">
        <v>10</v>
      </c>
      <c r="W3" s="2">
        <v>6</v>
      </c>
      <c r="X3" s="2">
        <v>8</v>
      </c>
      <c r="Y3" s="2">
        <v>8</v>
      </c>
      <c r="Z3" s="2">
        <v>7</v>
      </c>
      <c r="AA3" s="2">
        <v>7</v>
      </c>
      <c r="AB3" s="2">
        <v>8</v>
      </c>
      <c r="AC3" s="2">
        <v>7</v>
      </c>
      <c r="AD3" s="2">
        <v>8</v>
      </c>
      <c r="AE3" s="2">
        <v>7</v>
      </c>
      <c r="AF3" s="2">
        <v>9</v>
      </c>
      <c r="AG3" s="2">
        <v>8</v>
      </c>
      <c r="AH3" s="2">
        <v>7</v>
      </c>
      <c r="AI3" s="2">
        <v>7</v>
      </c>
      <c r="AJ3" s="2">
        <v>7</v>
      </c>
      <c r="AK3" s="3" t="s">
        <v>13</v>
      </c>
      <c r="AL3" s="2">
        <v>8</v>
      </c>
      <c r="AM3" s="2">
        <v>8</v>
      </c>
      <c r="AN3" s="2">
        <v>8</v>
      </c>
      <c r="AO3" s="2">
        <v>8</v>
      </c>
      <c r="AP3" s="2">
        <v>8</v>
      </c>
      <c r="AQ3" s="2">
        <v>8</v>
      </c>
      <c r="AR3" s="2">
        <v>7</v>
      </c>
      <c r="AS3" s="2">
        <v>8</v>
      </c>
      <c r="AT3" s="2">
        <v>8</v>
      </c>
      <c r="AU3" s="2">
        <v>9</v>
      </c>
      <c r="AV3" s="2">
        <v>8</v>
      </c>
      <c r="AW3" s="26">
        <v>7</v>
      </c>
    </row>
    <row r="4" spans="1:49" ht="16" x14ac:dyDescent="0.15">
      <c r="A4" s="9" t="s">
        <v>15</v>
      </c>
      <c r="B4" s="6">
        <v>9</v>
      </c>
      <c r="C4" s="2">
        <v>7</v>
      </c>
      <c r="D4" s="2">
        <v>8</v>
      </c>
      <c r="E4" s="2">
        <v>7</v>
      </c>
      <c r="F4" s="2">
        <v>9</v>
      </c>
      <c r="G4" s="2">
        <v>8</v>
      </c>
      <c r="H4" s="2">
        <v>8</v>
      </c>
      <c r="I4" s="2">
        <v>8</v>
      </c>
      <c r="J4" s="2">
        <v>9</v>
      </c>
      <c r="K4" s="2">
        <v>7</v>
      </c>
      <c r="L4" s="2">
        <v>8</v>
      </c>
      <c r="M4" s="2">
        <v>9</v>
      </c>
      <c r="N4" s="2">
        <v>9</v>
      </c>
      <c r="O4" s="2">
        <v>8</v>
      </c>
      <c r="P4" s="2">
        <v>8</v>
      </c>
      <c r="Q4" s="2">
        <v>9</v>
      </c>
      <c r="R4" s="2">
        <v>8</v>
      </c>
      <c r="S4" s="2">
        <v>8</v>
      </c>
      <c r="T4" s="2">
        <v>8</v>
      </c>
      <c r="U4" s="2">
        <v>7</v>
      </c>
      <c r="V4" s="2">
        <v>8</v>
      </c>
      <c r="W4" s="2">
        <v>8</v>
      </c>
      <c r="X4" s="2">
        <v>8</v>
      </c>
      <c r="Y4" s="2">
        <v>8</v>
      </c>
      <c r="Z4" s="2">
        <v>8</v>
      </c>
      <c r="AA4" s="2">
        <v>9</v>
      </c>
      <c r="AB4" s="2">
        <v>8</v>
      </c>
      <c r="AC4" s="2">
        <v>7</v>
      </c>
      <c r="AD4" s="2">
        <v>7</v>
      </c>
      <c r="AE4" s="2">
        <v>8</v>
      </c>
      <c r="AF4" s="2">
        <v>8</v>
      </c>
      <c r="AG4" s="2">
        <v>7</v>
      </c>
      <c r="AH4" s="2">
        <v>8</v>
      </c>
      <c r="AI4" s="2">
        <v>8</v>
      </c>
      <c r="AJ4" s="2">
        <v>8</v>
      </c>
      <c r="AK4" s="3" t="s">
        <v>13</v>
      </c>
      <c r="AL4" s="2">
        <v>9</v>
      </c>
      <c r="AM4" s="2">
        <v>6</v>
      </c>
      <c r="AN4" s="2">
        <v>7</v>
      </c>
      <c r="AO4" s="2">
        <v>8</v>
      </c>
      <c r="AP4" s="2">
        <v>7</v>
      </c>
      <c r="AQ4" s="2">
        <v>9</v>
      </c>
      <c r="AR4" s="2">
        <v>8</v>
      </c>
      <c r="AS4" s="2">
        <v>7</v>
      </c>
      <c r="AT4" s="2">
        <v>8</v>
      </c>
      <c r="AU4" s="2">
        <v>8</v>
      </c>
      <c r="AV4" s="2">
        <v>8</v>
      </c>
      <c r="AW4" s="26">
        <v>7</v>
      </c>
    </row>
    <row r="5" spans="1:49" ht="16" x14ac:dyDescent="0.15">
      <c r="A5" s="9" t="s">
        <v>16</v>
      </c>
      <c r="B5" s="6">
        <v>7</v>
      </c>
      <c r="C5" s="2">
        <v>9</v>
      </c>
      <c r="D5" s="2">
        <v>7</v>
      </c>
      <c r="E5" s="2">
        <v>8</v>
      </c>
      <c r="F5" s="2">
        <v>8</v>
      </c>
      <c r="G5" s="2">
        <v>9</v>
      </c>
      <c r="H5" s="2">
        <v>10</v>
      </c>
      <c r="I5" s="2">
        <v>8</v>
      </c>
      <c r="J5" s="2">
        <v>8</v>
      </c>
      <c r="K5" s="2">
        <v>9</v>
      </c>
      <c r="L5" s="2">
        <v>9</v>
      </c>
      <c r="M5" s="2">
        <v>10</v>
      </c>
      <c r="N5" s="2">
        <v>9</v>
      </c>
      <c r="O5" s="2">
        <v>8</v>
      </c>
      <c r="P5" s="2">
        <v>7</v>
      </c>
      <c r="Q5" s="2">
        <v>9</v>
      </c>
      <c r="R5" s="2">
        <v>8</v>
      </c>
      <c r="S5" s="2">
        <v>7</v>
      </c>
      <c r="T5" s="2">
        <v>9</v>
      </c>
      <c r="U5" s="2">
        <v>8</v>
      </c>
      <c r="V5" s="2">
        <v>9</v>
      </c>
      <c r="W5" s="2">
        <v>8</v>
      </c>
      <c r="X5" s="2">
        <v>8</v>
      </c>
      <c r="Y5" s="2">
        <v>8</v>
      </c>
      <c r="Z5" s="2">
        <v>7</v>
      </c>
      <c r="AA5" s="2">
        <v>7</v>
      </c>
      <c r="AB5" s="2">
        <v>8</v>
      </c>
      <c r="AC5" s="2">
        <v>5</v>
      </c>
      <c r="AD5" s="2">
        <v>8</v>
      </c>
      <c r="AE5" s="2">
        <v>7</v>
      </c>
      <c r="AF5" s="2">
        <v>8</v>
      </c>
      <c r="AG5" s="2">
        <v>9</v>
      </c>
      <c r="AH5" s="2">
        <v>8</v>
      </c>
      <c r="AI5" s="2">
        <v>8</v>
      </c>
      <c r="AJ5" s="2">
        <v>8</v>
      </c>
      <c r="AK5" s="2">
        <v>7</v>
      </c>
      <c r="AL5" s="2">
        <v>8</v>
      </c>
      <c r="AM5" s="2">
        <v>8</v>
      </c>
      <c r="AN5" s="2">
        <v>8</v>
      </c>
      <c r="AO5" s="2">
        <v>10</v>
      </c>
      <c r="AP5" s="2">
        <v>7</v>
      </c>
      <c r="AQ5" s="2">
        <v>8</v>
      </c>
      <c r="AR5" s="2">
        <v>8</v>
      </c>
      <c r="AS5" s="2">
        <v>8</v>
      </c>
      <c r="AT5" s="2">
        <v>7</v>
      </c>
      <c r="AU5" s="2">
        <v>8</v>
      </c>
      <c r="AV5" s="2">
        <v>8</v>
      </c>
      <c r="AW5" s="26">
        <v>7</v>
      </c>
    </row>
    <row r="6" spans="1:49" ht="16" x14ac:dyDescent="0.15">
      <c r="A6" s="9" t="s">
        <v>17</v>
      </c>
      <c r="B6" s="6">
        <v>9</v>
      </c>
      <c r="C6" s="2">
        <v>18</v>
      </c>
      <c r="D6" s="2">
        <v>8</v>
      </c>
      <c r="E6" s="2">
        <v>8</v>
      </c>
      <c r="F6" s="2">
        <v>9</v>
      </c>
      <c r="G6" s="2">
        <v>7</v>
      </c>
      <c r="H6" s="3" t="s">
        <v>13</v>
      </c>
      <c r="I6" s="2">
        <v>6</v>
      </c>
      <c r="J6" s="2">
        <v>6</v>
      </c>
      <c r="K6" s="2">
        <v>7</v>
      </c>
      <c r="L6" s="2">
        <v>8</v>
      </c>
      <c r="M6" s="2">
        <v>9</v>
      </c>
      <c r="N6" s="2">
        <v>8</v>
      </c>
      <c r="O6" s="2">
        <v>8</v>
      </c>
      <c r="P6" s="2">
        <v>8</v>
      </c>
      <c r="Q6" s="2">
        <v>9</v>
      </c>
      <c r="R6" s="3" t="s">
        <v>13</v>
      </c>
      <c r="S6" s="2">
        <v>8</v>
      </c>
      <c r="T6" s="2">
        <v>8</v>
      </c>
      <c r="U6" s="2">
        <v>8</v>
      </c>
      <c r="V6" s="2">
        <v>8</v>
      </c>
      <c r="W6" s="2">
        <v>7</v>
      </c>
      <c r="X6" s="2">
        <v>8</v>
      </c>
      <c r="Y6" s="2">
        <v>8</v>
      </c>
      <c r="Z6" s="2">
        <v>9</v>
      </c>
      <c r="AA6" s="2">
        <v>9</v>
      </c>
      <c r="AB6" s="2">
        <v>8</v>
      </c>
      <c r="AC6" s="2">
        <v>9</v>
      </c>
      <c r="AD6" s="2">
        <v>7</v>
      </c>
      <c r="AE6" s="2">
        <v>8</v>
      </c>
      <c r="AF6" s="2">
        <v>8</v>
      </c>
      <c r="AG6" s="2">
        <v>9</v>
      </c>
      <c r="AH6" s="2">
        <v>8</v>
      </c>
      <c r="AI6" s="2">
        <v>8</v>
      </c>
      <c r="AJ6" s="2">
        <v>8</v>
      </c>
      <c r="AK6" s="3" t="s">
        <v>13</v>
      </c>
      <c r="AL6" s="2">
        <v>8</v>
      </c>
      <c r="AM6" s="2">
        <v>7</v>
      </c>
      <c r="AN6" s="2">
        <v>8</v>
      </c>
      <c r="AO6" s="2">
        <v>9</v>
      </c>
      <c r="AP6" s="2">
        <v>9</v>
      </c>
      <c r="AQ6" s="2">
        <v>8</v>
      </c>
      <c r="AR6" s="2">
        <v>8</v>
      </c>
      <c r="AS6" s="2">
        <v>6</v>
      </c>
      <c r="AT6" s="2">
        <v>8</v>
      </c>
      <c r="AU6" s="2">
        <v>8</v>
      </c>
      <c r="AV6" s="2">
        <v>8</v>
      </c>
      <c r="AW6" s="26">
        <v>8</v>
      </c>
    </row>
    <row r="7" spans="1:49" ht="16" x14ac:dyDescent="0.15">
      <c r="A7" s="9" t="s">
        <v>18</v>
      </c>
      <c r="B7" s="6">
        <v>8</v>
      </c>
      <c r="C7" s="2">
        <v>8</v>
      </c>
      <c r="D7" s="2">
        <v>8</v>
      </c>
      <c r="E7" s="2">
        <v>7</v>
      </c>
      <c r="F7" s="2">
        <v>8</v>
      </c>
      <c r="G7" s="2">
        <v>9</v>
      </c>
      <c r="H7" s="2">
        <v>7</v>
      </c>
      <c r="I7" s="2">
        <v>6</v>
      </c>
      <c r="J7" s="2">
        <v>8</v>
      </c>
      <c r="K7" s="2">
        <v>8</v>
      </c>
      <c r="L7" s="2">
        <v>9</v>
      </c>
      <c r="M7" s="2">
        <v>7</v>
      </c>
      <c r="N7" s="2">
        <v>8</v>
      </c>
      <c r="O7" s="2">
        <v>10</v>
      </c>
      <c r="P7" s="2">
        <v>8</v>
      </c>
      <c r="Q7" s="2">
        <v>7</v>
      </c>
      <c r="R7" s="2">
        <v>9</v>
      </c>
      <c r="S7" s="2">
        <v>8</v>
      </c>
      <c r="T7" s="2">
        <v>7</v>
      </c>
      <c r="U7" s="2">
        <v>8</v>
      </c>
      <c r="V7" s="2">
        <v>9</v>
      </c>
      <c r="W7" s="2">
        <v>7</v>
      </c>
      <c r="X7" s="2">
        <v>9</v>
      </c>
      <c r="Y7" s="2">
        <v>10</v>
      </c>
      <c r="Z7" s="2">
        <v>7</v>
      </c>
      <c r="AA7" s="2">
        <v>8</v>
      </c>
      <c r="AB7" s="2">
        <v>9</v>
      </c>
      <c r="AC7" s="2">
        <v>9</v>
      </c>
      <c r="AD7" s="2">
        <v>10</v>
      </c>
      <c r="AE7" s="2">
        <v>7</v>
      </c>
      <c r="AF7" s="3" t="s">
        <v>13</v>
      </c>
      <c r="AG7" s="2">
        <v>8</v>
      </c>
      <c r="AH7" s="2">
        <v>9</v>
      </c>
      <c r="AI7" s="2">
        <v>7</v>
      </c>
      <c r="AJ7" s="2">
        <v>7</v>
      </c>
      <c r="AK7" s="2">
        <v>8</v>
      </c>
      <c r="AL7" s="2">
        <v>7</v>
      </c>
      <c r="AM7" s="2">
        <v>9</v>
      </c>
      <c r="AN7" s="2">
        <v>9</v>
      </c>
      <c r="AO7" s="2">
        <v>7</v>
      </c>
      <c r="AP7" s="2">
        <v>8</v>
      </c>
      <c r="AQ7" s="2">
        <v>7</v>
      </c>
      <c r="AR7" s="2">
        <v>8</v>
      </c>
      <c r="AS7" s="2">
        <v>7</v>
      </c>
      <c r="AT7" s="2">
        <v>7</v>
      </c>
      <c r="AU7" s="2">
        <v>8</v>
      </c>
      <c r="AV7" s="2">
        <v>8</v>
      </c>
      <c r="AW7" s="26">
        <v>8</v>
      </c>
    </row>
    <row r="8" spans="1:49" ht="16" x14ac:dyDescent="0.15">
      <c r="A8" s="9" t="s">
        <v>19</v>
      </c>
      <c r="B8" s="6">
        <v>8</v>
      </c>
      <c r="C8" s="2">
        <v>9</v>
      </c>
      <c r="D8" s="2">
        <v>8</v>
      </c>
      <c r="E8" s="2">
        <v>9</v>
      </c>
      <c r="F8" s="2">
        <v>8</v>
      </c>
      <c r="G8" s="2">
        <v>8</v>
      </c>
      <c r="H8" s="3" t="s">
        <v>13</v>
      </c>
      <c r="I8" s="2">
        <v>8</v>
      </c>
      <c r="J8" s="3" t="s">
        <v>13</v>
      </c>
      <c r="K8" s="3" t="s">
        <v>13</v>
      </c>
      <c r="L8" s="2">
        <v>9</v>
      </c>
      <c r="M8" s="2">
        <v>7</v>
      </c>
      <c r="N8" s="2">
        <v>7</v>
      </c>
      <c r="O8" s="2">
        <v>8</v>
      </c>
      <c r="P8" s="2">
        <v>9</v>
      </c>
      <c r="Q8" s="2">
        <v>8</v>
      </c>
      <c r="R8" s="2">
        <v>8</v>
      </c>
      <c r="S8" s="2">
        <v>8</v>
      </c>
      <c r="T8" s="2">
        <v>8</v>
      </c>
      <c r="U8" s="2">
        <v>9</v>
      </c>
      <c r="V8" s="2">
        <v>8</v>
      </c>
      <c r="W8" s="2">
        <v>10</v>
      </c>
      <c r="X8" s="2">
        <v>7</v>
      </c>
      <c r="Y8" s="2">
        <v>9</v>
      </c>
      <c r="Z8" s="2">
        <v>8</v>
      </c>
      <c r="AA8" s="2">
        <v>9</v>
      </c>
      <c r="AB8" s="2">
        <v>8</v>
      </c>
      <c r="AC8" s="2">
        <v>9</v>
      </c>
      <c r="AD8" s="2">
        <v>7</v>
      </c>
      <c r="AE8" s="2">
        <v>8</v>
      </c>
      <c r="AF8" s="2">
        <v>6</v>
      </c>
      <c r="AG8" s="2">
        <v>7</v>
      </c>
      <c r="AH8" s="2">
        <v>5</v>
      </c>
      <c r="AI8" s="2">
        <v>8</v>
      </c>
      <c r="AJ8" s="2">
        <v>8</v>
      </c>
      <c r="AK8" s="2">
        <v>7</v>
      </c>
      <c r="AL8" s="2">
        <v>7</v>
      </c>
      <c r="AM8" s="2">
        <v>9</v>
      </c>
      <c r="AN8" s="2">
        <v>7</v>
      </c>
      <c r="AO8" s="2">
        <v>7</v>
      </c>
      <c r="AP8" s="2">
        <v>8</v>
      </c>
      <c r="AQ8" s="2">
        <v>8</v>
      </c>
      <c r="AR8" s="2">
        <v>9</v>
      </c>
      <c r="AS8" s="2">
        <v>8</v>
      </c>
      <c r="AT8" s="2">
        <v>7</v>
      </c>
      <c r="AU8" s="2">
        <v>7</v>
      </c>
      <c r="AV8" s="2">
        <v>11</v>
      </c>
      <c r="AW8" s="26">
        <v>7</v>
      </c>
    </row>
    <row r="9" spans="1:49" ht="16" x14ac:dyDescent="0.15">
      <c r="A9" s="9" t="s">
        <v>20</v>
      </c>
      <c r="B9" s="6">
        <v>9</v>
      </c>
      <c r="C9" s="2">
        <v>8</v>
      </c>
      <c r="D9" s="2">
        <v>9</v>
      </c>
      <c r="E9" s="2">
        <v>7</v>
      </c>
      <c r="F9" s="2">
        <v>7</v>
      </c>
      <c r="G9" s="2">
        <v>8</v>
      </c>
      <c r="H9" s="2">
        <v>9</v>
      </c>
      <c r="I9" s="3" t="s">
        <v>13</v>
      </c>
      <c r="J9" s="2">
        <v>9</v>
      </c>
      <c r="K9" s="2">
        <v>8</v>
      </c>
      <c r="L9" s="2">
        <v>9</v>
      </c>
      <c r="M9" s="2">
        <v>6</v>
      </c>
      <c r="N9" s="2">
        <v>8</v>
      </c>
      <c r="O9" s="2">
        <v>9</v>
      </c>
      <c r="P9" s="2">
        <v>9</v>
      </c>
      <c r="Q9" s="2">
        <v>9</v>
      </c>
      <c r="R9" s="2">
        <v>9</v>
      </c>
      <c r="S9" s="2">
        <v>8</v>
      </c>
      <c r="T9" s="2">
        <v>8</v>
      </c>
      <c r="U9" s="2">
        <v>9</v>
      </c>
      <c r="V9" s="2">
        <v>8</v>
      </c>
      <c r="W9" s="2">
        <v>8</v>
      </c>
      <c r="X9" s="2">
        <v>8</v>
      </c>
      <c r="Y9" s="2">
        <v>9</v>
      </c>
      <c r="Z9" s="2">
        <v>8</v>
      </c>
      <c r="AA9" s="2">
        <v>9</v>
      </c>
      <c r="AB9" s="2">
        <v>9</v>
      </c>
      <c r="AC9" s="2">
        <v>7</v>
      </c>
      <c r="AD9" s="2">
        <v>7</v>
      </c>
      <c r="AE9" s="2">
        <v>8</v>
      </c>
      <c r="AF9" s="2">
        <v>7</v>
      </c>
      <c r="AG9" s="2">
        <v>9</v>
      </c>
      <c r="AH9" s="2">
        <v>8</v>
      </c>
      <c r="AI9" s="2">
        <v>8</v>
      </c>
      <c r="AJ9" s="2">
        <v>8</v>
      </c>
      <c r="AK9" s="2">
        <v>9</v>
      </c>
      <c r="AL9" s="2">
        <v>7</v>
      </c>
      <c r="AM9" s="2">
        <v>8</v>
      </c>
      <c r="AN9" s="2">
        <v>7</v>
      </c>
      <c r="AO9" s="2">
        <v>8</v>
      </c>
      <c r="AP9" s="2">
        <v>8</v>
      </c>
      <c r="AQ9" s="2">
        <v>7</v>
      </c>
      <c r="AR9" s="2">
        <v>10</v>
      </c>
      <c r="AS9" s="2">
        <v>7</v>
      </c>
      <c r="AT9" s="2">
        <v>9</v>
      </c>
      <c r="AU9" s="2">
        <v>9</v>
      </c>
      <c r="AV9" s="3" t="s">
        <v>13</v>
      </c>
      <c r="AW9" s="26">
        <v>8</v>
      </c>
    </row>
    <row r="10" spans="1:49" ht="16" x14ac:dyDescent="0.15">
      <c r="A10" s="9" t="s">
        <v>21</v>
      </c>
      <c r="B10" s="6">
        <v>8</v>
      </c>
      <c r="C10" s="2">
        <v>8</v>
      </c>
      <c r="D10" s="2">
        <v>10</v>
      </c>
      <c r="E10" s="2">
        <v>7</v>
      </c>
      <c r="F10" s="2">
        <v>8</v>
      </c>
      <c r="G10" s="2">
        <v>8</v>
      </c>
      <c r="H10" s="3" t="s">
        <v>13</v>
      </c>
      <c r="I10" s="2">
        <v>8</v>
      </c>
      <c r="J10" s="2">
        <v>8</v>
      </c>
      <c r="K10" s="2">
        <v>7</v>
      </c>
      <c r="L10" s="2">
        <v>8</v>
      </c>
      <c r="M10" s="2">
        <v>11</v>
      </c>
      <c r="N10" s="2">
        <v>8</v>
      </c>
      <c r="O10" s="2">
        <v>6</v>
      </c>
      <c r="P10" s="2">
        <v>8</v>
      </c>
      <c r="Q10" s="2">
        <v>7</v>
      </c>
      <c r="R10" s="2">
        <v>8</v>
      </c>
      <c r="S10" s="2">
        <v>10</v>
      </c>
      <c r="T10" s="2">
        <v>7</v>
      </c>
      <c r="U10" s="2">
        <v>8</v>
      </c>
      <c r="V10" s="2">
        <v>9</v>
      </c>
      <c r="W10" s="2">
        <v>8</v>
      </c>
      <c r="X10" s="2">
        <v>8</v>
      </c>
      <c r="Y10" s="2">
        <v>9</v>
      </c>
      <c r="Z10" s="2">
        <v>8</v>
      </c>
      <c r="AA10" s="2">
        <v>8</v>
      </c>
      <c r="AB10" s="2">
        <v>8</v>
      </c>
      <c r="AC10" s="2">
        <v>8</v>
      </c>
      <c r="AD10" s="2">
        <v>6</v>
      </c>
      <c r="AE10" s="2">
        <v>5</v>
      </c>
      <c r="AF10" s="2">
        <v>8</v>
      </c>
      <c r="AG10" s="2">
        <v>8</v>
      </c>
      <c r="AH10" s="2">
        <v>8</v>
      </c>
      <c r="AI10" s="2">
        <v>7</v>
      </c>
      <c r="AJ10" s="2">
        <v>7</v>
      </c>
      <c r="AK10" s="2">
        <v>7</v>
      </c>
      <c r="AL10" s="2">
        <v>9</v>
      </c>
      <c r="AM10" s="2">
        <v>9</v>
      </c>
      <c r="AN10" s="2">
        <v>9</v>
      </c>
      <c r="AO10" s="2">
        <v>8</v>
      </c>
      <c r="AP10" s="2">
        <v>9</v>
      </c>
      <c r="AQ10" s="2">
        <v>9</v>
      </c>
      <c r="AR10" s="2">
        <v>9</v>
      </c>
      <c r="AS10" s="2">
        <v>7</v>
      </c>
      <c r="AT10" s="2">
        <v>7</v>
      </c>
      <c r="AU10" s="2">
        <v>8</v>
      </c>
      <c r="AV10" s="2">
        <v>6</v>
      </c>
      <c r="AW10" s="26">
        <v>8</v>
      </c>
    </row>
    <row r="11" spans="1:49" ht="16" x14ac:dyDescent="0.15">
      <c r="A11" s="9" t="s">
        <v>22</v>
      </c>
      <c r="B11" s="6">
        <v>9</v>
      </c>
      <c r="C11" s="2">
        <v>9</v>
      </c>
      <c r="D11" s="2">
        <v>9</v>
      </c>
      <c r="E11" s="2">
        <v>9</v>
      </c>
      <c r="F11" s="3" t="s">
        <v>13</v>
      </c>
      <c r="G11" s="2">
        <v>9</v>
      </c>
      <c r="H11" s="2">
        <v>9</v>
      </c>
      <c r="I11" s="3" t="s">
        <v>13</v>
      </c>
      <c r="J11" s="2">
        <v>9</v>
      </c>
      <c r="K11" s="2">
        <v>8</v>
      </c>
      <c r="L11" s="2">
        <v>9</v>
      </c>
      <c r="M11" s="2">
        <v>9</v>
      </c>
      <c r="N11" s="2">
        <v>9</v>
      </c>
      <c r="O11" s="2">
        <v>7</v>
      </c>
      <c r="P11" s="2">
        <v>8</v>
      </c>
      <c r="Q11" s="2">
        <v>8</v>
      </c>
      <c r="R11" s="2">
        <v>8</v>
      </c>
      <c r="S11" s="3" t="s">
        <v>13</v>
      </c>
      <c r="T11" s="2">
        <v>8</v>
      </c>
      <c r="U11" s="2">
        <v>9</v>
      </c>
      <c r="V11" s="2">
        <v>9</v>
      </c>
      <c r="W11" s="2">
        <v>8</v>
      </c>
      <c r="X11" s="2">
        <v>7</v>
      </c>
      <c r="Y11" s="2">
        <v>7</v>
      </c>
      <c r="Z11" s="2">
        <v>7</v>
      </c>
      <c r="AA11" s="2">
        <v>6</v>
      </c>
      <c r="AB11" s="2">
        <v>7</v>
      </c>
      <c r="AC11" s="2">
        <v>7</v>
      </c>
      <c r="AD11" s="2">
        <v>7</v>
      </c>
      <c r="AE11" s="2">
        <v>7</v>
      </c>
      <c r="AF11" s="2">
        <v>8</v>
      </c>
      <c r="AG11" s="2">
        <v>8</v>
      </c>
      <c r="AH11" s="2">
        <v>7</v>
      </c>
      <c r="AI11" s="2">
        <v>7</v>
      </c>
      <c r="AJ11" s="2">
        <v>7</v>
      </c>
      <c r="AK11" s="2">
        <v>9</v>
      </c>
      <c r="AL11" s="2">
        <v>7</v>
      </c>
      <c r="AM11" s="2">
        <v>8</v>
      </c>
      <c r="AN11" s="2">
        <v>8</v>
      </c>
      <c r="AO11" s="2">
        <v>9</v>
      </c>
      <c r="AP11" s="2">
        <v>8</v>
      </c>
      <c r="AQ11" s="2">
        <v>9</v>
      </c>
      <c r="AR11" s="2">
        <v>8</v>
      </c>
      <c r="AS11" s="2">
        <v>4</v>
      </c>
      <c r="AT11" s="2">
        <v>10</v>
      </c>
      <c r="AU11" s="2">
        <v>8</v>
      </c>
      <c r="AV11" s="2">
        <v>9</v>
      </c>
      <c r="AW11" s="26">
        <v>7</v>
      </c>
    </row>
    <row r="12" spans="1:49" ht="16" x14ac:dyDescent="0.15">
      <c r="A12" s="9" t="s">
        <v>23</v>
      </c>
      <c r="B12" s="6">
        <v>8</v>
      </c>
      <c r="C12" s="2">
        <v>7</v>
      </c>
      <c r="D12" s="2">
        <v>7</v>
      </c>
      <c r="E12" s="2">
        <v>8</v>
      </c>
      <c r="F12" s="2">
        <v>8</v>
      </c>
      <c r="G12" s="2">
        <v>8</v>
      </c>
      <c r="H12" s="3" t="s">
        <v>13</v>
      </c>
      <c r="I12" s="2">
        <v>8</v>
      </c>
      <c r="J12" s="2">
        <v>8</v>
      </c>
      <c r="K12" s="2">
        <v>8</v>
      </c>
      <c r="L12" s="2">
        <v>9</v>
      </c>
      <c r="M12" s="2">
        <v>7</v>
      </c>
      <c r="N12" s="2">
        <v>8</v>
      </c>
      <c r="O12" s="2">
        <v>7</v>
      </c>
      <c r="P12" s="2">
        <v>8</v>
      </c>
      <c r="Q12" s="2">
        <v>10</v>
      </c>
      <c r="R12" s="2">
        <v>8</v>
      </c>
      <c r="S12" s="2">
        <v>9</v>
      </c>
      <c r="T12" s="2">
        <v>8</v>
      </c>
      <c r="U12" s="2">
        <v>8</v>
      </c>
      <c r="V12" s="2">
        <v>10</v>
      </c>
      <c r="W12" s="2">
        <v>8</v>
      </c>
      <c r="X12" s="2">
        <v>10</v>
      </c>
      <c r="Y12" s="2">
        <v>7</v>
      </c>
      <c r="Z12" s="2">
        <v>7</v>
      </c>
      <c r="AA12" s="2">
        <v>6</v>
      </c>
      <c r="AB12" s="2">
        <v>7</v>
      </c>
      <c r="AC12" s="2">
        <v>8</v>
      </c>
      <c r="AD12" s="2">
        <v>7</v>
      </c>
      <c r="AE12" s="2">
        <v>9</v>
      </c>
      <c r="AF12" s="2">
        <v>8</v>
      </c>
      <c r="AG12" s="2">
        <v>9</v>
      </c>
      <c r="AH12" s="2">
        <v>7</v>
      </c>
      <c r="AI12" s="2">
        <v>8</v>
      </c>
      <c r="AJ12" s="2">
        <v>8</v>
      </c>
      <c r="AK12" s="2">
        <v>7</v>
      </c>
      <c r="AL12" s="2">
        <v>9</v>
      </c>
      <c r="AM12" s="2">
        <v>7</v>
      </c>
      <c r="AN12" s="2">
        <v>8</v>
      </c>
      <c r="AO12" s="2">
        <v>8</v>
      </c>
      <c r="AP12" s="2">
        <v>9</v>
      </c>
      <c r="AQ12" s="2">
        <v>9</v>
      </c>
      <c r="AR12" s="2">
        <v>9</v>
      </c>
      <c r="AS12" s="2">
        <v>10</v>
      </c>
      <c r="AT12" s="2">
        <v>9</v>
      </c>
      <c r="AU12" s="2">
        <v>7</v>
      </c>
      <c r="AV12" s="2">
        <v>8</v>
      </c>
      <c r="AW12" s="26">
        <v>8</v>
      </c>
    </row>
    <row r="13" spans="1:49" ht="16" x14ac:dyDescent="0.15">
      <c r="A13" s="9" t="s">
        <v>24</v>
      </c>
      <c r="B13" s="6">
        <v>7</v>
      </c>
      <c r="C13" s="2">
        <v>7</v>
      </c>
      <c r="D13" s="2">
        <v>8</v>
      </c>
      <c r="E13" s="2">
        <v>10</v>
      </c>
      <c r="F13" s="2">
        <v>8</v>
      </c>
      <c r="G13" s="2">
        <v>8</v>
      </c>
      <c r="H13" s="2">
        <v>7</v>
      </c>
      <c r="I13" s="3" t="s">
        <v>13</v>
      </c>
      <c r="J13" s="2">
        <v>9</v>
      </c>
      <c r="K13" s="2">
        <v>8</v>
      </c>
      <c r="L13" s="2">
        <v>7</v>
      </c>
      <c r="M13" s="2">
        <v>8</v>
      </c>
      <c r="N13" s="2">
        <v>4</v>
      </c>
      <c r="O13" s="2">
        <v>9</v>
      </c>
      <c r="P13" s="2">
        <v>8</v>
      </c>
      <c r="Q13" s="2">
        <v>8</v>
      </c>
      <c r="R13" s="2">
        <v>9</v>
      </c>
      <c r="S13" s="3" t="s">
        <v>13</v>
      </c>
      <c r="T13" s="2">
        <v>7</v>
      </c>
      <c r="U13" s="2">
        <v>9</v>
      </c>
      <c r="V13" s="2">
        <v>8</v>
      </c>
      <c r="W13" s="2">
        <v>9</v>
      </c>
      <c r="X13" s="2">
        <v>8</v>
      </c>
      <c r="Y13" s="2">
        <v>8</v>
      </c>
      <c r="Z13" s="2">
        <v>8</v>
      </c>
      <c r="AA13" s="2">
        <v>9</v>
      </c>
      <c r="AB13" s="2">
        <v>8</v>
      </c>
      <c r="AC13" s="2">
        <v>5</v>
      </c>
      <c r="AD13" s="2">
        <v>8</v>
      </c>
      <c r="AE13" s="3" t="s">
        <v>13</v>
      </c>
      <c r="AF13" s="2">
        <v>8</v>
      </c>
      <c r="AG13" s="3" t="s">
        <v>13</v>
      </c>
      <c r="AH13" s="2">
        <v>7</v>
      </c>
      <c r="AI13" s="2">
        <v>8</v>
      </c>
      <c r="AJ13" s="2">
        <v>8</v>
      </c>
      <c r="AK13" s="2">
        <v>7</v>
      </c>
      <c r="AL13" s="2">
        <v>9</v>
      </c>
      <c r="AM13" s="2">
        <v>9</v>
      </c>
      <c r="AN13" s="2">
        <v>9</v>
      </c>
      <c r="AO13" s="2">
        <v>7</v>
      </c>
      <c r="AP13" s="2">
        <v>10</v>
      </c>
      <c r="AQ13" s="2">
        <v>6</v>
      </c>
      <c r="AR13" s="2">
        <v>5</v>
      </c>
      <c r="AS13" s="2">
        <v>7</v>
      </c>
      <c r="AT13" s="2">
        <v>8</v>
      </c>
      <c r="AU13" s="2">
        <v>8</v>
      </c>
      <c r="AV13" s="2">
        <v>8</v>
      </c>
      <c r="AW13" s="26">
        <v>8</v>
      </c>
    </row>
    <row r="14" spans="1:49" ht="16" x14ac:dyDescent="0.15">
      <c r="A14" s="9" t="s">
        <v>25</v>
      </c>
      <c r="B14" s="6">
        <v>7</v>
      </c>
      <c r="C14" s="2">
        <v>9</v>
      </c>
      <c r="D14" s="2">
        <v>9</v>
      </c>
      <c r="E14" s="2">
        <v>9</v>
      </c>
      <c r="F14" s="2">
        <v>7</v>
      </c>
      <c r="G14" s="2">
        <v>8</v>
      </c>
      <c r="H14" s="2">
        <v>8</v>
      </c>
      <c r="I14" s="2">
        <v>8</v>
      </c>
      <c r="J14" s="2">
        <v>9</v>
      </c>
      <c r="K14" s="2">
        <v>8</v>
      </c>
      <c r="L14" s="2">
        <v>9</v>
      </c>
      <c r="M14" s="2">
        <v>8</v>
      </c>
      <c r="N14" s="2">
        <v>8</v>
      </c>
      <c r="O14" s="2">
        <v>8</v>
      </c>
      <c r="P14" s="2">
        <v>8</v>
      </c>
      <c r="Q14" s="2">
        <v>8</v>
      </c>
      <c r="R14" s="2"/>
      <c r="S14" s="2">
        <v>9</v>
      </c>
      <c r="T14" s="2">
        <v>9</v>
      </c>
      <c r="U14" s="2">
        <v>8</v>
      </c>
      <c r="V14" s="2">
        <v>9</v>
      </c>
      <c r="W14" s="2">
        <v>8</v>
      </c>
      <c r="X14" s="2">
        <v>7</v>
      </c>
      <c r="Y14" s="2">
        <v>8</v>
      </c>
      <c r="Z14" s="2">
        <v>9</v>
      </c>
      <c r="AA14" s="2">
        <v>8</v>
      </c>
      <c r="AB14" s="2">
        <v>8</v>
      </c>
      <c r="AC14" s="2">
        <v>7</v>
      </c>
      <c r="AD14" s="2">
        <v>9</v>
      </c>
      <c r="AE14" s="2">
        <v>9</v>
      </c>
      <c r="AF14" s="2">
        <v>7</v>
      </c>
      <c r="AG14" s="2">
        <v>9</v>
      </c>
      <c r="AH14" s="2">
        <v>9</v>
      </c>
      <c r="AI14" s="2">
        <v>8</v>
      </c>
      <c r="AJ14" s="2">
        <v>8</v>
      </c>
      <c r="AK14" s="2">
        <v>7</v>
      </c>
      <c r="AL14" s="2">
        <v>9</v>
      </c>
      <c r="AM14" s="2">
        <v>7</v>
      </c>
      <c r="AN14" s="2">
        <v>8</v>
      </c>
      <c r="AO14" s="2">
        <v>19</v>
      </c>
      <c r="AP14" s="2">
        <v>9</v>
      </c>
      <c r="AQ14" s="2">
        <v>8</v>
      </c>
      <c r="AR14" s="2">
        <v>8</v>
      </c>
      <c r="AS14" s="2">
        <v>6</v>
      </c>
      <c r="AT14" s="2">
        <v>10</v>
      </c>
      <c r="AU14" s="2">
        <v>8</v>
      </c>
      <c r="AV14" s="2">
        <v>9</v>
      </c>
      <c r="AW14" s="26"/>
    </row>
    <row r="15" spans="1:49" ht="16" x14ac:dyDescent="0.15">
      <c r="A15" s="9" t="s">
        <v>26</v>
      </c>
      <c r="B15" s="6"/>
      <c r="C15" s="2">
        <v>8</v>
      </c>
      <c r="D15" s="2">
        <v>9</v>
      </c>
      <c r="E15" s="2">
        <v>8</v>
      </c>
      <c r="F15" s="2">
        <v>7</v>
      </c>
      <c r="G15" s="2">
        <v>8</v>
      </c>
      <c r="H15" s="2">
        <v>9</v>
      </c>
      <c r="I15" s="3" t="s">
        <v>13</v>
      </c>
      <c r="J15" s="2"/>
      <c r="K15" s="2">
        <v>8</v>
      </c>
      <c r="L15" s="2"/>
      <c r="M15" s="2">
        <v>8</v>
      </c>
      <c r="N15" s="2">
        <v>8</v>
      </c>
      <c r="O15" s="2">
        <v>9</v>
      </c>
      <c r="P15" s="2">
        <v>7</v>
      </c>
      <c r="Q15" s="2">
        <v>8</v>
      </c>
      <c r="R15" s="2"/>
      <c r="S15" s="2">
        <v>8</v>
      </c>
      <c r="T15" s="2">
        <v>9</v>
      </c>
      <c r="U15" s="2">
        <v>8</v>
      </c>
      <c r="V15" s="2">
        <v>8</v>
      </c>
      <c r="W15" s="2">
        <v>8</v>
      </c>
      <c r="X15" s="2">
        <v>8</v>
      </c>
      <c r="Y15" s="2">
        <v>7</v>
      </c>
      <c r="Z15" s="2">
        <v>9</v>
      </c>
      <c r="AA15" s="2">
        <v>10</v>
      </c>
      <c r="AB15" s="2">
        <v>6</v>
      </c>
      <c r="AC15" s="2">
        <v>5</v>
      </c>
      <c r="AD15" s="2">
        <v>7</v>
      </c>
      <c r="AE15" s="3" t="s">
        <v>13</v>
      </c>
      <c r="AF15" s="2">
        <v>8</v>
      </c>
      <c r="AG15" s="3" t="s">
        <v>13</v>
      </c>
      <c r="AH15" s="2">
        <v>5</v>
      </c>
      <c r="AI15" s="2">
        <v>7</v>
      </c>
      <c r="AJ15" s="2">
        <v>7</v>
      </c>
      <c r="AK15" s="3" t="s">
        <v>13</v>
      </c>
      <c r="AL15" s="2">
        <v>10</v>
      </c>
      <c r="AM15" s="2">
        <v>8</v>
      </c>
      <c r="AN15" s="2">
        <v>10</v>
      </c>
      <c r="AO15" s="2"/>
      <c r="AP15" s="2">
        <v>9</v>
      </c>
      <c r="AQ15" s="2">
        <v>8</v>
      </c>
      <c r="AR15" s="2">
        <v>8</v>
      </c>
      <c r="AS15" s="2">
        <v>7</v>
      </c>
      <c r="AT15" s="2">
        <v>10</v>
      </c>
      <c r="AU15" s="2"/>
      <c r="AV15" s="2">
        <v>9</v>
      </c>
      <c r="AW15" s="26"/>
    </row>
    <row r="16" spans="1:49" ht="16" x14ac:dyDescent="0.15">
      <c r="A16" s="9" t="s">
        <v>27</v>
      </c>
      <c r="B16" s="6"/>
      <c r="C16" s="2">
        <v>10</v>
      </c>
      <c r="D16" s="2">
        <v>7</v>
      </c>
      <c r="E16" s="2">
        <v>9</v>
      </c>
      <c r="F16" s="2">
        <v>8</v>
      </c>
      <c r="G16" s="2">
        <v>8</v>
      </c>
      <c r="H16" s="2"/>
      <c r="I16" s="2">
        <v>8</v>
      </c>
      <c r="J16" s="2"/>
      <c r="K16" s="2">
        <v>9</v>
      </c>
      <c r="L16" s="2"/>
      <c r="M16" s="2">
        <v>7</v>
      </c>
      <c r="N16" s="2">
        <v>8</v>
      </c>
      <c r="O16" s="2">
        <v>8</v>
      </c>
      <c r="P16" s="2">
        <v>8</v>
      </c>
      <c r="Q16" s="2">
        <v>8</v>
      </c>
      <c r="R16" s="2"/>
      <c r="S16" s="2">
        <v>9</v>
      </c>
      <c r="T16" s="2">
        <v>6</v>
      </c>
      <c r="U16" s="3" t="s">
        <v>13</v>
      </c>
      <c r="V16" s="2">
        <v>8</v>
      </c>
      <c r="W16" s="2">
        <v>8</v>
      </c>
      <c r="X16" s="2"/>
      <c r="Y16" s="2">
        <v>7</v>
      </c>
      <c r="Z16" s="2">
        <v>8</v>
      </c>
      <c r="AA16" s="2">
        <v>8</v>
      </c>
      <c r="AB16" s="2">
        <v>8</v>
      </c>
      <c r="AC16" s="2">
        <v>8</v>
      </c>
      <c r="AD16" s="2">
        <v>8</v>
      </c>
      <c r="AE16" s="2">
        <v>9</v>
      </c>
      <c r="AF16" s="2">
        <v>7</v>
      </c>
      <c r="AG16" s="2">
        <v>8</v>
      </c>
      <c r="AH16" s="2">
        <v>6</v>
      </c>
      <c r="AI16" s="2">
        <v>8</v>
      </c>
      <c r="AJ16" s="2">
        <v>8</v>
      </c>
      <c r="AK16" s="2">
        <v>7</v>
      </c>
      <c r="AL16" s="2">
        <v>10</v>
      </c>
      <c r="AM16" s="2">
        <v>7</v>
      </c>
      <c r="AN16" s="2">
        <v>10</v>
      </c>
      <c r="AO16" s="2"/>
      <c r="AP16" s="2">
        <v>11</v>
      </c>
      <c r="AQ16" s="2"/>
      <c r="AR16" s="2">
        <v>8</v>
      </c>
      <c r="AS16" s="2">
        <v>8</v>
      </c>
      <c r="AT16" s="2">
        <v>7</v>
      </c>
      <c r="AU16" s="2"/>
      <c r="AV16" s="2">
        <v>9</v>
      </c>
      <c r="AW16" s="26"/>
    </row>
    <row r="17" spans="1:49" ht="16" x14ac:dyDescent="0.15">
      <c r="A17" s="9" t="s">
        <v>28</v>
      </c>
      <c r="B17" s="6"/>
      <c r="C17" s="2">
        <v>9</v>
      </c>
      <c r="D17" s="2">
        <v>7</v>
      </c>
      <c r="E17" s="2">
        <v>8</v>
      </c>
      <c r="F17" s="2"/>
      <c r="G17" s="2">
        <v>9</v>
      </c>
      <c r="H17" s="2"/>
      <c r="I17" s="3" t="s">
        <v>13</v>
      </c>
      <c r="J17" s="2"/>
      <c r="K17" s="2">
        <v>8</v>
      </c>
      <c r="L17" s="2"/>
      <c r="M17" s="2">
        <v>7</v>
      </c>
      <c r="N17" s="2">
        <v>7</v>
      </c>
      <c r="O17" s="2">
        <v>8</v>
      </c>
      <c r="P17" s="2">
        <v>8</v>
      </c>
      <c r="Q17" s="2">
        <v>8</v>
      </c>
      <c r="R17" s="2"/>
      <c r="S17" s="2">
        <v>9</v>
      </c>
      <c r="T17" s="2">
        <v>8</v>
      </c>
      <c r="U17" s="2">
        <v>9</v>
      </c>
      <c r="V17" s="2">
        <v>7</v>
      </c>
      <c r="W17" s="2">
        <v>7</v>
      </c>
      <c r="X17" s="2"/>
      <c r="Y17" s="2">
        <v>7</v>
      </c>
      <c r="Z17" s="2">
        <v>7</v>
      </c>
      <c r="AA17" s="2"/>
      <c r="AB17" s="2">
        <v>7</v>
      </c>
      <c r="AC17" s="2"/>
      <c r="AD17" s="2">
        <v>7</v>
      </c>
      <c r="AE17" s="2">
        <v>8</v>
      </c>
      <c r="AF17" s="2">
        <v>8</v>
      </c>
      <c r="AG17" s="3" t="s">
        <v>13</v>
      </c>
      <c r="AH17" s="2">
        <v>8</v>
      </c>
      <c r="AI17" s="2">
        <v>7</v>
      </c>
      <c r="AJ17" s="2">
        <v>7</v>
      </c>
      <c r="AK17" s="2">
        <v>8</v>
      </c>
      <c r="AL17" s="2">
        <v>8</v>
      </c>
      <c r="AM17" s="2"/>
      <c r="AN17" s="2">
        <v>9</v>
      </c>
      <c r="AO17" s="2"/>
      <c r="AP17" s="2">
        <v>7</v>
      </c>
      <c r="AQ17" s="2"/>
      <c r="AR17" s="2">
        <v>7</v>
      </c>
      <c r="AS17" s="2">
        <v>9</v>
      </c>
      <c r="AT17" s="2">
        <v>8</v>
      </c>
      <c r="AU17" s="2"/>
      <c r="AV17" s="2">
        <v>9</v>
      </c>
      <c r="AW17" s="26"/>
    </row>
    <row r="18" spans="1:49" ht="16" x14ac:dyDescent="0.15">
      <c r="A18" s="9" t="s">
        <v>29</v>
      </c>
      <c r="B18" s="6"/>
      <c r="C18" s="2">
        <v>9</v>
      </c>
      <c r="D18" s="2">
        <v>9</v>
      </c>
      <c r="E18" s="2">
        <v>7</v>
      </c>
      <c r="F18" s="2"/>
      <c r="G18" s="2">
        <v>8</v>
      </c>
      <c r="H18" s="2"/>
      <c r="I18" s="2">
        <v>8</v>
      </c>
      <c r="J18" s="2"/>
      <c r="K18" s="2">
        <v>7</v>
      </c>
      <c r="L18" s="2"/>
      <c r="M18" s="2">
        <v>8</v>
      </c>
      <c r="N18" s="2">
        <v>9</v>
      </c>
      <c r="O18" s="2">
        <v>8</v>
      </c>
      <c r="P18" s="2">
        <v>8</v>
      </c>
      <c r="Q18" s="2">
        <v>8</v>
      </c>
      <c r="R18" s="2"/>
      <c r="S18" s="2">
        <v>7</v>
      </c>
      <c r="T18" s="2">
        <v>9</v>
      </c>
      <c r="U18" s="2">
        <v>7</v>
      </c>
      <c r="V18" s="2"/>
      <c r="W18" s="2">
        <v>9</v>
      </c>
      <c r="X18" s="2"/>
      <c r="Y18" s="2">
        <v>8</v>
      </c>
      <c r="Z18" s="2">
        <v>8</v>
      </c>
      <c r="AA18" s="2"/>
      <c r="AB18" s="2">
        <v>8</v>
      </c>
      <c r="AC18" s="2"/>
      <c r="AD18" s="2">
        <v>7</v>
      </c>
      <c r="AE18" s="2">
        <v>8</v>
      </c>
      <c r="AF18" s="2">
        <v>8</v>
      </c>
      <c r="AG18" s="2">
        <v>7</v>
      </c>
      <c r="AH18" s="3" t="s">
        <v>13</v>
      </c>
      <c r="AI18" s="2">
        <v>8</v>
      </c>
      <c r="AJ18" s="2">
        <v>8</v>
      </c>
      <c r="AK18" s="2">
        <v>10</v>
      </c>
      <c r="AL18" s="2">
        <v>9</v>
      </c>
      <c r="AM18" s="2"/>
      <c r="AN18" s="2">
        <v>8</v>
      </c>
      <c r="AO18" s="2"/>
      <c r="AP18" s="3" t="s">
        <v>13</v>
      </c>
      <c r="AQ18" s="2"/>
      <c r="AR18" s="2">
        <v>8</v>
      </c>
      <c r="AS18" s="2"/>
      <c r="AT18" s="2">
        <v>8</v>
      </c>
      <c r="AU18" s="2"/>
      <c r="AV18" s="2">
        <v>9</v>
      </c>
      <c r="AW18" s="26"/>
    </row>
    <row r="19" spans="1:49" ht="16" x14ac:dyDescent="0.15">
      <c r="A19" s="9" t="s">
        <v>30</v>
      </c>
      <c r="B19" s="6"/>
      <c r="C19" s="2"/>
      <c r="D19" s="2">
        <v>9</v>
      </c>
      <c r="E19" s="2">
        <v>9</v>
      </c>
      <c r="F19" s="2"/>
      <c r="G19" s="2">
        <v>8</v>
      </c>
      <c r="H19" s="2"/>
      <c r="I19" s="2">
        <v>4</v>
      </c>
      <c r="J19" s="2"/>
      <c r="K19" s="2">
        <v>8</v>
      </c>
      <c r="L19" s="2"/>
      <c r="M19" s="2"/>
      <c r="N19" s="2"/>
      <c r="O19" s="2">
        <v>8</v>
      </c>
      <c r="P19" s="2"/>
      <c r="Q19" s="2">
        <v>9</v>
      </c>
      <c r="R19" s="2"/>
      <c r="S19" s="2">
        <v>6</v>
      </c>
      <c r="T19" s="2">
        <v>7</v>
      </c>
      <c r="U19" s="2">
        <v>8</v>
      </c>
      <c r="V19" s="2"/>
      <c r="W19" s="2">
        <v>7</v>
      </c>
      <c r="X19" s="2"/>
      <c r="Y19" s="2"/>
      <c r="Z19" s="2">
        <v>8</v>
      </c>
      <c r="AA19" s="2"/>
      <c r="AB19" s="2"/>
      <c r="AC19" s="2"/>
      <c r="AD19" s="2">
        <v>8</v>
      </c>
      <c r="AE19" s="2">
        <v>8</v>
      </c>
      <c r="AF19" s="2">
        <v>9</v>
      </c>
      <c r="AG19" s="2"/>
      <c r="AH19" s="2">
        <v>9</v>
      </c>
      <c r="AI19" s="2">
        <v>7</v>
      </c>
      <c r="AJ19" s="2">
        <v>7</v>
      </c>
      <c r="AK19" s="2">
        <v>6</v>
      </c>
      <c r="AL19" s="2">
        <v>9</v>
      </c>
      <c r="AM19" s="2"/>
      <c r="AN19" s="2">
        <v>8</v>
      </c>
      <c r="AO19" s="2"/>
      <c r="AP19" s="2">
        <v>8</v>
      </c>
      <c r="AQ19" s="2"/>
      <c r="AR19" s="2"/>
      <c r="AS19" s="2"/>
      <c r="AT19" s="2">
        <v>8</v>
      </c>
      <c r="AU19" s="2"/>
      <c r="AV19" s="2">
        <v>8</v>
      </c>
      <c r="AW19" s="26"/>
    </row>
    <row r="20" spans="1:49" ht="16" x14ac:dyDescent="0.15">
      <c r="A20" s="9" t="s">
        <v>31</v>
      </c>
      <c r="B20" s="6"/>
      <c r="C20" s="2"/>
      <c r="D20" s="2"/>
      <c r="E20" s="2">
        <v>8</v>
      </c>
      <c r="F20" s="2"/>
      <c r="G20" s="2">
        <v>8</v>
      </c>
      <c r="H20" s="2"/>
      <c r="I20" s="3" t="s">
        <v>13</v>
      </c>
      <c r="J20" s="2"/>
      <c r="K20" s="2">
        <v>9</v>
      </c>
      <c r="L20" s="2"/>
      <c r="M20" s="2"/>
      <c r="N20" s="2"/>
      <c r="O20" s="2">
        <v>8</v>
      </c>
      <c r="P20" s="2"/>
      <c r="Q20" s="2">
        <v>9</v>
      </c>
      <c r="R20" s="2"/>
      <c r="S20" s="2">
        <v>7</v>
      </c>
      <c r="T20" s="2"/>
      <c r="U20" s="2">
        <v>6</v>
      </c>
      <c r="V20" s="2"/>
      <c r="W20" s="2">
        <v>8</v>
      </c>
      <c r="X20" s="2"/>
      <c r="Y20" s="2"/>
      <c r="Z20" s="2"/>
      <c r="AA20" s="2"/>
      <c r="AB20" s="2"/>
      <c r="AC20" s="2"/>
      <c r="AD20" s="2">
        <v>6</v>
      </c>
      <c r="AE20" s="2">
        <v>9</v>
      </c>
      <c r="AF20" s="2">
        <v>8</v>
      </c>
      <c r="AG20" s="2"/>
      <c r="AH20" s="2">
        <v>7</v>
      </c>
      <c r="AI20" s="2"/>
      <c r="AJ20" s="2"/>
      <c r="AK20" s="2">
        <v>10</v>
      </c>
      <c r="AL20" s="2">
        <v>8</v>
      </c>
      <c r="AM20" s="2"/>
      <c r="AN20" s="2">
        <v>8</v>
      </c>
      <c r="AO20" s="2"/>
      <c r="AP20" s="2">
        <v>8</v>
      </c>
      <c r="AQ20" s="2"/>
      <c r="AR20" s="2"/>
      <c r="AS20" s="2"/>
      <c r="AT20" s="2">
        <v>7</v>
      </c>
      <c r="AU20" s="2"/>
      <c r="AV20" s="2">
        <v>9</v>
      </c>
      <c r="AW20" s="26"/>
    </row>
    <row r="21" spans="1:49" ht="16" x14ac:dyDescent="0.15">
      <c r="A21" s="9" t="s">
        <v>32</v>
      </c>
      <c r="B21" s="6"/>
      <c r="C21" s="2"/>
      <c r="D21" s="2"/>
      <c r="E21" s="2">
        <v>8</v>
      </c>
      <c r="F21" s="2"/>
      <c r="G21" s="2">
        <v>8</v>
      </c>
      <c r="H21" s="2"/>
      <c r="I21" s="2">
        <v>3</v>
      </c>
      <c r="J21" s="2"/>
      <c r="K21" s="2">
        <v>8</v>
      </c>
      <c r="L21" s="2"/>
      <c r="M21" s="2"/>
      <c r="N21" s="2"/>
      <c r="O21" s="2">
        <v>8</v>
      </c>
      <c r="P21" s="2"/>
      <c r="Q21" s="2">
        <v>8</v>
      </c>
      <c r="R21" s="2"/>
      <c r="S21" s="2"/>
      <c r="T21" s="2"/>
      <c r="U21" s="2">
        <v>8</v>
      </c>
      <c r="V21" s="2"/>
      <c r="W21" s="2">
        <v>8</v>
      </c>
      <c r="X21" s="2"/>
      <c r="Y21" s="2"/>
      <c r="Z21" s="2"/>
      <c r="AA21" s="2"/>
      <c r="AB21" s="2"/>
      <c r="AC21" s="2"/>
      <c r="AD21" s="2">
        <v>8</v>
      </c>
      <c r="AE21" s="2"/>
      <c r="AF21" s="2"/>
      <c r="AG21" s="2"/>
      <c r="AH21" s="2"/>
      <c r="AI21" s="2"/>
      <c r="AJ21" s="2"/>
      <c r="AK21" s="2">
        <v>8</v>
      </c>
      <c r="AL21" s="2">
        <v>9</v>
      </c>
      <c r="AM21" s="2"/>
      <c r="AN21" s="2">
        <v>8</v>
      </c>
      <c r="AO21" s="2"/>
      <c r="AP21" s="2">
        <v>7</v>
      </c>
      <c r="AQ21" s="2"/>
      <c r="AR21" s="2"/>
      <c r="AS21" s="2"/>
      <c r="AT21" s="2">
        <v>7</v>
      </c>
      <c r="AU21" s="2"/>
      <c r="AV21" s="2">
        <v>6</v>
      </c>
      <c r="AW21" s="26"/>
    </row>
    <row r="22" spans="1:49" ht="16" x14ac:dyDescent="0.15">
      <c r="A22" s="9" t="s">
        <v>33</v>
      </c>
      <c r="B22" s="6"/>
      <c r="C22" s="2"/>
      <c r="D22" s="2"/>
      <c r="E22" s="2">
        <v>10</v>
      </c>
      <c r="F22" s="2"/>
      <c r="G22" s="2">
        <v>8</v>
      </c>
      <c r="H22" s="2"/>
      <c r="I22" s="2"/>
      <c r="J22" s="2"/>
      <c r="K22" s="2"/>
      <c r="L22" s="2"/>
      <c r="M22" s="2"/>
      <c r="N22" s="2"/>
      <c r="O22" s="2">
        <v>9</v>
      </c>
      <c r="P22" s="2"/>
      <c r="Q22" s="2">
        <v>8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>
        <v>6</v>
      </c>
      <c r="AE22" s="2"/>
      <c r="AF22" s="2"/>
      <c r="AG22" s="2"/>
      <c r="AH22" s="2"/>
      <c r="AI22" s="2"/>
      <c r="AJ22" s="2"/>
      <c r="AK22" s="2">
        <v>9</v>
      </c>
      <c r="AL22" s="2">
        <v>9</v>
      </c>
      <c r="AM22" s="2"/>
      <c r="AN22" s="2">
        <v>5</v>
      </c>
      <c r="AO22" s="2"/>
      <c r="AP22" s="2"/>
      <c r="AQ22" s="2"/>
      <c r="AR22" s="2"/>
      <c r="AS22" s="2"/>
      <c r="AT22" s="2"/>
      <c r="AU22" s="2"/>
      <c r="AV22" s="2">
        <v>9</v>
      </c>
      <c r="AW22" s="26"/>
    </row>
    <row r="23" spans="1:49" ht="16" x14ac:dyDescent="0.15">
      <c r="A23" s="9" t="s">
        <v>34</v>
      </c>
      <c r="B23" s="6"/>
      <c r="C23" s="2"/>
      <c r="D23" s="2"/>
      <c r="E23" s="2">
        <v>9</v>
      </c>
      <c r="F23" s="2"/>
      <c r="G23" s="2">
        <v>7</v>
      </c>
      <c r="H23" s="2"/>
      <c r="I23" s="2"/>
      <c r="J23" s="2"/>
      <c r="K23" s="2"/>
      <c r="L23" s="2"/>
      <c r="M23" s="2"/>
      <c r="N23" s="2"/>
      <c r="O23" s="2">
        <v>9</v>
      </c>
      <c r="P23" s="2"/>
      <c r="Q23" s="2">
        <v>8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>
        <v>7</v>
      </c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>
        <v>9</v>
      </c>
      <c r="AW23" s="26"/>
    </row>
    <row r="24" spans="1:49" ht="16" x14ac:dyDescent="0.15">
      <c r="A24" s="9" t="s">
        <v>35</v>
      </c>
      <c r="B24" s="6"/>
      <c r="C24" s="2"/>
      <c r="D24" s="2"/>
      <c r="E24" s="2">
        <v>8</v>
      </c>
      <c r="F24" s="2"/>
      <c r="G24" s="2"/>
      <c r="H24" s="2"/>
      <c r="I24" s="2"/>
      <c r="J24" s="2"/>
      <c r="K24" s="2"/>
      <c r="L24" s="2"/>
      <c r="M24" s="2"/>
      <c r="N24" s="2"/>
      <c r="O24" s="3" t="s">
        <v>13</v>
      </c>
      <c r="P24" s="2"/>
      <c r="Q24" s="2">
        <v>8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>
        <v>7</v>
      </c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6"/>
    </row>
    <row r="25" spans="1:49" ht="16" x14ac:dyDescent="0.15">
      <c r="A25" s="9" t="s">
        <v>36</v>
      </c>
      <c r="B25" s="6"/>
      <c r="C25" s="2"/>
      <c r="D25" s="2"/>
      <c r="E25" s="2">
        <v>8</v>
      </c>
      <c r="F25" s="2"/>
      <c r="G25" s="2"/>
      <c r="H25" s="2"/>
      <c r="I25" s="2"/>
      <c r="J25" s="2"/>
      <c r="K25" s="2"/>
      <c r="L25" s="2"/>
      <c r="M25" s="2"/>
      <c r="N25" s="2"/>
      <c r="O25" s="2">
        <v>6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>
        <v>5</v>
      </c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6"/>
    </row>
    <row r="26" spans="1:49" ht="16" x14ac:dyDescent="0.15">
      <c r="A26" s="9" t="s">
        <v>37</v>
      </c>
      <c r="B26" s="6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6"/>
    </row>
    <row r="27" spans="1:49" ht="16" x14ac:dyDescent="0.15">
      <c r="A27" s="9" t="s">
        <v>38</v>
      </c>
      <c r="B27" s="6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6"/>
    </row>
    <row r="28" spans="1:49" ht="16" x14ac:dyDescent="0.15">
      <c r="A28" s="9" t="s">
        <v>39</v>
      </c>
      <c r="B28" s="6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6"/>
    </row>
    <row r="29" spans="1:49" ht="17" thickBot="1" x14ac:dyDescent="0.2">
      <c r="A29" s="11" t="s">
        <v>40</v>
      </c>
      <c r="B29" s="12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27"/>
    </row>
    <row r="30" spans="1:49" x14ac:dyDescent="0.15">
      <c r="A30" s="15" t="s">
        <v>90</v>
      </c>
      <c r="B30" s="16">
        <f>COUNTIF(B2:B29, "&gt;0")</f>
        <v>13</v>
      </c>
      <c r="C30" s="17">
        <f t="shared" ref="C30:AD30" si="0">COUNTIF(C2:C29, "&gt;0")</f>
        <v>17</v>
      </c>
      <c r="D30" s="17">
        <f t="shared" si="0"/>
        <v>18</v>
      </c>
      <c r="E30" s="17">
        <f t="shared" si="0"/>
        <v>24</v>
      </c>
      <c r="F30" s="17">
        <f t="shared" si="0"/>
        <v>14</v>
      </c>
      <c r="G30" s="17">
        <f t="shared" si="0"/>
        <v>22</v>
      </c>
      <c r="H30" s="17">
        <f t="shared" si="0"/>
        <v>10</v>
      </c>
      <c r="I30" s="17">
        <f t="shared" si="0"/>
        <v>13</v>
      </c>
      <c r="J30" s="17">
        <f t="shared" si="0"/>
        <v>12</v>
      </c>
      <c r="K30" s="17">
        <f t="shared" si="0"/>
        <v>19</v>
      </c>
      <c r="L30" s="17">
        <f t="shared" si="0"/>
        <v>13</v>
      </c>
      <c r="M30" s="17">
        <f t="shared" si="0"/>
        <v>17</v>
      </c>
      <c r="N30" s="17">
        <f t="shared" si="0"/>
        <v>17</v>
      </c>
      <c r="O30" s="17">
        <f t="shared" si="0"/>
        <v>23</v>
      </c>
      <c r="P30" s="17">
        <f t="shared" si="0"/>
        <v>17</v>
      </c>
      <c r="Q30" s="17">
        <f t="shared" si="0"/>
        <v>23</v>
      </c>
      <c r="R30" s="17">
        <f t="shared" si="0"/>
        <v>11</v>
      </c>
      <c r="S30" s="17">
        <f t="shared" si="0"/>
        <v>17</v>
      </c>
      <c r="T30" s="17">
        <f t="shared" si="0"/>
        <v>18</v>
      </c>
      <c r="U30" s="17">
        <f t="shared" si="0"/>
        <v>19</v>
      </c>
      <c r="V30" s="17">
        <f t="shared" si="0"/>
        <v>16</v>
      </c>
      <c r="W30" s="17">
        <f t="shared" si="0"/>
        <v>20</v>
      </c>
      <c r="X30" s="17">
        <f t="shared" si="0"/>
        <v>14</v>
      </c>
      <c r="Y30" s="17">
        <f t="shared" si="0"/>
        <v>17</v>
      </c>
      <c r="Z30" s="17">
        <f t="shared" si="0"/>
        <v>18</v>
      </c>
      <c r="AA30" s="17">
        <f t="shared" si="0"/>
        <v>15</v>
      </c>
      <c r="AB30" s="17">
        <f t="shared" si="0"/>
        <v>17</v>
      </c>
      <c r="AC30" s="17">
        <f t="shared" si="0"/>
        <v>15</v>
      </c>
      <c r="AD30" s="17">
        <f t="shared" si="0"/>
        <v>24</v>
      </c>
      <c r="AE30" s="17">
        <f t="shared" ref="AE30" si="1">COUNTIF(AE2:AE29, "&gt;0")</f>
        <v>17</v>
      </c>
      <c r="AF30" s="17">
        <f t="shared" ref="AF30" si="2">COUNTIF(AF2:AF29, "&gt;0")</f>
        <v>18</v>
      </c>
      <c r="AG30" s="17">
        <f t="shared" ref="AG30" si="3">COUNTIF(AG2:AG29, "&gt;0")</f>
        <v>14</v>
      </c>
      <c r="AH30" s="17">
        <f t="shared" ref="AH30" si="4">COUNTIF(AH2:AH29, "&gt;0")</f>
        <v>18</v>
      </c>
      <c r="AI30" s="17">
        <f t="shared" ref="AI30" si="5">COUNTIF(AI2:AI29, "&gt;0")</f>
        <v>18</v>
      </c>
      <c r="AJ30" s="17">
        <f t="shared" ref="AJ30" si="6">COUNTIF(AJ2:AJ29, "&gt;0")</f>
        <v>18</v>
      </c>
      <c r="AK30" s="17">
        <f t="shared" ref="AK30" si="7">COUNTIF(AK2:AK29, "&gt;0")</f>
        <v>17</v>
      </c>
      <c r="AL30" s="17">
        <f t="shared" ref="AL30" si="8">COUNTIF(AL2:AL29, "&gt;0")</f>
        <v>21</v>
      </c>
      <c r="AM30" s="17">
        <f t="shared" ref="AM30" si="9">COUNTIF(AM2:AM29, "&gt;0")</f>
        <v>15</v>
      </c>
      <c r="AN30" s="17">
        <f t="shared" ref="AN30" si="10">COUNTIF(AN2:AN29, "&gt;0")</f>
        <v>21</v>
      </c>
      <c r="AO30" s="17">
        <f t="shared" ref="AO30" si="11">COUNTIF(AO2:AO29, "&gt;0")</f>
        <v>12</v>
      </c>
      <c r="AP30" s="17">
        <f t="shared" ref="AP30" si="12">COUNTIF(AP2:AP29, "&gt;0")</f>
        <v>19</v>
      </c>
      <c r="AQ30" s="17">
        <f t="shared" ref="AQ30" si="13">COUNTIF(AQ2:AQ29, "&gt;0")</f>
        <v>14</v>
      </c>
      <c r="AR30" s="17">
        <f t="shared" ref="AR30" si="14">COUNTIF(AR2:AR29, "&gt;0")</f>
        <v>17</v>
      </c>
      <c r="AS30" s="17">
        <f t="shared" ref="AS30" si="15">COUNTIF(AS2:AS29, "&gt;0")</f>
        <v>16</v>
      </c>
      <c r="AT30" s="17">
        <f t="shared" ref="AT30" si="16">COUNTIF(AT2:AT29, "&gt;0")</f>
        <v>20</v>
      </c>
      <c r="AU30" s="17">
        <f t="shared" ref="AU30" si="17">COUNTIF(AU2:AU29, "&gt;0")</f>
        <v>13</v>
      </c>
      <c r="AV30" s="17">
        <f t="shared" ref="AV30" si="18">COUNTIF(AV2:AV29, "&gt;0")</f>
        <v>21</v>
      </c>
      <c r="AW30" s="18">
        <f t="shared" ref="AW30" si="19">COUNTIF(AW2:AW29, "&gt;0")</f>
        <v>12</v>
      </c>
    </row>
    <row r="31" spans="1:49" x14ac:dyDescent="0.15">
      <c r="A31" s="10" t="s">
        <v>91</v>
      </c>
      <c r="B31" s="7">
        <f>SUM(B2:B29)</f>
        <v>106</v>
      </c>
      <c r="C31" s="5">
        <f t="shared" ref="C31:AW31" si="20">SUM(C2:C29)</f>
        <v>150</v>
      </c>
      <c r="D31" s="5">
        <f t="shared" si="20"/>
        <v>149</v>
      </c>
      <c r="E31" s="5">
        <f t="shared" si="20"/>
        <v>197</v>
      </c>
      <c r="F31" s="5">
        <f t="shared" si="20"/>
        <v>112</v>
      </c>
      <c r="G31" s="5">
        <f t="shared" si="20"/>
        <v>180</v>
      </c>
      <c r="H31" s="5">
        <f t="shared" si="20"/>
        <v>83</v>
      </c>
      <c r="I31" s="5">
        <f t="shared" si="20"/>
        <v>91</v>
      </c>
      <c r="J31" s="5">
        <f t="shared" si="20"/>
        <v>99</v>
      </c>
      <c r="K31" s="5">
        <f t="shared" si="20"/>
        <v>152</v>
      </c>
      <c r="L31" s="5">
        <f t="shared" si="20"/>
        <v>111</v>
      </c>
      <c r="M31" s="5">
        <f t="shared" si="20"/>
        <v>138</v>
      </c>
      <c r="N31" s="5">
        <f t="shared" si="20"/>
        <v>132</v>
      </c>
      <c r="O31" s="5">
        <f t="shared" si="20"/>
        <v>185</v>
      </c>
      <c r="P31" s="5">
        <f t="shared" si="20"/>
        <v>134</v>
      </c>
      <c r="Q31" s="5">
        <f t="shared" si="20"/>
        <v>191</v>
      </c>
      <c r="R31" s="5">
        <f t="shared" si="20"/>
        <v>92</v>
      </c>
      <c r="S31" s="5">
        <f t="shared" si="20"/>
        <v>137</v>
      </c>
      <c r="T31" s="5">
        <f t="shared" si="20"/>
        <v>144</v>
      </c>
      <c r="U31" s="5">
        <f t="shared" si="20"/>
        <v>153</v>
      </c>
      <c r="V31" s="5">
        <f t="shared" si="20"/>
        <v>136</v>
      </c>
      <c r="W31" s="5">
        <f t="shared" si="20"/>
        <v>158</v>
      </c>
      <c r="X31" s="5">
        <f t="shared" si="20"/>
        <v>113</v>
      </c>
      <c r="Y31" s="5">
        <f t="shared" si="20"/>
        <v>136</v>
      </c>
      <c r="Z31" s="5">
        <f t="shared" si="20"/>
        <v>141</v>
      </c>
      <c r="AA31" s="5">
        <f t="shared" si="20"/>
        <v>121</v>
      </c>
      <c r="AB31" s="5">
        <f t="shared" si="20"/>
        <v>134</v>
      </c>
      <c r="AC31" s="5">
        <f t="shared" si="20"/>
        <v>109</v>
      </c>
      <c r="AD31" s="5">
        <f t="shared" si="20"/>
        <v>174</v>
      </c>
      <c r="AE31" s="5">
        <f t="shared" si="20"/>
        <v>133</v>
      </c>
      <c r="AF31" s="5">
        <f t="shared" si="20"/>
        <v>142</v>
      </c>
      <c r="AG31" s="5">
        <f t="shared" si="20"/>
        <v>113</v>
      </c>
      <c r="AH31" s="5">
        <f t="shared" si="20"/>
        <v>133</v>
      </c>
      <c r="AI31" s="5">
        <f t="shared" si="20"/>
        <v>137</v>
      </c>
      <c r="AJ31" s="5">
        <f t="shared" si="20"/>
        <v>137</v>
      </c>
      <c r="AK31" s="5">
        <f t="shared" si="20"/>
        <v>134</v>
      </c>
      <c r="AL31" s="5">
        <f t="shared" si="20"/>
        <v>179</v>
      </c>
      <c r="AM31" s="5">
        <f t="shared" si="20"/>
        <v>119</v>
      </c>
      <c r="AN31" s="5">
        <f t="shared" si="20"/>
        <v>170</v>
      </c>
      <c r="AO31" s="5">
        <f t="shared" si="20"/>
        <v>108</v>
      </c>
      <c r="AP31" s="5">
        <f t="shared" si="20"/>
        <v>157</v>
      </c>
      <c r="AQ31" s="5">
        <f t="shared" si="20"/>
        <v>111</v>
      </c>
      <c r="AR31" s="5">
        <f t="shared" si="20"/>
        <v>136</v>
      </c>
      <c r="AS31" s="5">
        <f t="shared" si="20"/>
        <v>116</v>
      </c>
      <c r="AT31" s="5">
        <f t="shared" si="20"/>
        <v>162</v>
      </c>
      <c r="AU31" s="5">
        <f t="shared" si="20"/>
        <v>104</v>
      </c>
      <c r="AV31" s="5">
        <f t="shared" si="20"/>
        <v>176</v>
      </c>
      <c r="AW31" s="19">
        <f t="shared" si="20"/>
        <v>90</v>
      </c>
    </row>
    <row r="32" spans="1:49" ht="29" thickBot="1" x14ac:dyDescent="0.2">
      <c r="A32" s="28" t="s">
        <v>95</v>
      </c>
      <c r="B32" s="20">
        <f>ROUND(B31/B30, 2)</f>
        <v>8.15</v>
      </c>
      <c r="C32" s="21">
        <f t="shared" ref="C32:AZ32" si="21">ROUND(C31/C30, 2)</f>
        <v>8.82</v>
      </c>
      <c r="D32" s="21">
        <f t="shared" si="21"/>
        <v>8.2799999999999994</v>
      </c>
      <c r="E32" s="21">
        <f t="shared" si="21"/>
        <v>8.2100000000000009</v>
      </c>
      <c r="F32" s="21">
        <f t="shared" si="21"/>
        <v>8</v>
      </c>
      <c r="G32" s="21">
        <f t="shared" si="21"/>
        <v>8.18</v>
      </c>
      <c r="H32" s="21">
        <f t="shared" si="21"/>
        <v>8.3000000000000007</v>
      </c>
      <c r="I32" s="21">
        <f t="shared" si="21"/>
        <v>7</v>
      </c>
      <c r="J32" s="21">
        <f t="shared" si="21"/>
        <v>8.25</v>
      </c>
      <c r="K32" s="21">
        <f t="shared" si="21"/>
        <v>8</v>
      </c>
      <c r="L32" s="21">
        <f t="shared" si="21"/>
        <v>8.5399999999999991</v>
      </c>
      <c r="M32" s="21">
        <f t="shared" si="21"/>
        <v>8.1199999999999992</v>
      </c>
      <c r="N32" s="21">
        <f t="shared" si="21"/>
        <v>7.76</v>
      </c>
      <c r="O32" s="21">
        <f t="shared" si="21"/>
        <v>8.0399999999999991</v>
      </c>
      <c r="P32" s="21">
        <f t="shared" si="21"/>
        <v>7.88</v>
      </c>
      <c r="Q32" s="21">
        <f t="shared" si="21"/>
        <v>8.3000000000000007</v>
      </c>
      <c r="R32" s="21">
        <f t="shared" si="21"/>
        <v>8.36</v>
      </c>
      <c r="S32" s="21">
        <f t="shared" si="21"/>
        <v>8.06</v>
      </c>
      <c r="T32" s="21">
        <f t="shared" si="21"/>
        <v>8</v>
      </c>
      <c r="U32" s="21">
        <f t="shared" si="21"/>
        <v>8.0500000000000007</v>
      </c>
      <c r="V32" s="21">
        <f t="shared" si="21"/>
        <v>8.5</v>
      </c>
      <c r="W32" s="21">
        <f t="shared" si="21"/>
        <v>7.9</v>
      </c>
      <c r="X32" s="21">
        <f t="shared" si="21"/>
        <v>8.07</v>
      </c>
      <c r="Y32" s="21">
        <f t="shared" si="21"/>
        <v>8</v>
      </c>
      <c r="Z32" s="21">
        <f t="shared" si="21"/>
        <v>7.83</v>
      </c>
      <c r="AA32" s="21">
        <f t="shared" si="21"/>
        <v>8.07</v>
      </c>
      <c r="AB32" s="21">
        <f t="shared" si="21"/>
        <v>7.88</v>
      </c>
      <c r="AC32" s="21">
        <f t="shared" si="21"/>
        <v>7.27</v>
      </c>
      <c r="AD32" s="21">
        <f t="shared" si="21"/>
        <v>7.25</v>
      </c>
      <c r="AE32" s="21">
        <f t="shared" si="21"/>
        <v>7.82</v>
      </c>
      <c r="AF32" s="21">
        <f t="shared" si="21"/>
        <v>7.89</v>
      </c>
      <c r="AG32" s="21">
        <f t="shared" si="21"/>
        <v>8.07</v>
      </c>
      <c r="AH32" s="21">
        <f t="shared" si="21"/>
        <v>7.39</v>
      </c>
      <c r="AI32" s="21">
        <f t="shared" si="21"/>
        <v>7.61</v>
      </c>
      <c r="AJ32" s="21">
        <f t="shared" si="21"/>
        <v>7.61</v>
      </c>
      <c r="AK32" s="21">
        <f t="shared" si="21"/>
        <v>7.88</v>
      </c>
      <c r="AL32" s="21">
        <f t="shared" si="21"/>
        <v>8.52</v>
      </c>
      <c r="AM32" s="21">
        <f t="shared" si="21"/>
        <v>7.93</v>
      </c>
      <c r="AN32" s="21">
        <f t="shared" si="21"/>
        <v>8.1</v>
      </c>
      <c r="AO32" s="21">
        <f t="shared" si="21"/>
        <v>9</v>
      </c>
      <c r="AP32" s="21">
        <f t="shared" si="21"/>
        <v>8.26</v>
      </c>
      <c r="AQ32" s="21">
        <f t="shared" si="21"/>
        <v>7.93</v>
      </c>
      <c r="AR32" s="21">
        <f t="shared" si="21"/>
        <v>8</v>
      </c>
      <c r="AS32" s="21">
        <f t="shared" si="21"/>
        <v>7.25</v>
      </c>
      <c r="AT32" s="21">
        <f t="shared" si="21"/>
        <v>8.1</v>
      </c>
      <c r="AU32" s="21">
        <f t="shared" si="21"/>
        <v>8</v>
      </c>
      <c r="AV32" s="21">
        <f t="shared" si="21"/>
        <v>8.3800000000000008</v>
      </c>
      <c r="AW32" s="22">
        <f t="shared" si="21"/>
        <v>7.5</v>
      </c>
    </row>
    <row r="33" spans="1:4" ht="29" thickBot="1" x14ac:dyDescent="0.2">
      <c r="A33" s="58" t="s">
        <v>96</v>
      </c>
      <c r="B33" s="57">
        <f>ROUND((SUM(B32:AW32) / COUNT(B32:AW32)), 2)</f>
        <v>8.01</v>
      </c>
    </row>
    <row r="39" spans="1:4" x14ac:dyDescent="0.15">
      <c r="D39" s="1">
        <f>COUNT(B32:AW32)</f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9-5-25 CONTROL (Non Solar)</vt:lpstr>
      <vt:lpstr>9-6-25 SOLAR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Areesha Imtiaz</cp:lastModifiedBy>
  <cp:revision/>
  <dcterms:created xsi:type="dcterms:W3CDTF">2025-10-04T06:08:05Z</dcterms:created>
  <dcterms:modified xsi:type="dcterms:W3CDTF">2026-02-21T02:33:37Z</dcterms:modified>
  <cp:category/>
  <cp:contentStatus/>
</cp:coreProperties>
</file>